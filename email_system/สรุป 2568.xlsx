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V:\A.โฟร์เดอร์หลัก\Build000 ทดสอบระบบ\ส่วนตัวเอ็ม\BotV3\email_system\"/>
    </mc:Choice>
  </mc:AlternateContent>
  <xr:revisionPtr revIDLastSave="0" documentId="13_ncr:1_{83312BCE-2963-421B-8038-4C124037FFEF}" xr6:coauthVersionLast="47" xr6:coauthVersionMax="47" xr10:uidLastSave="{00000000-0000-0000-0000-000000000000}"/>
  <bookViews>
    <workbookView xWindow="-120" yWindow="-120" windowWidth="51840" windowHeight="21120" firstSheet="13" activeTab="14" xr2:uid="{2C1A227A-83F1-411F-97A4-31A905E263B6}"/>
  </bookViews>
  <sheets>
    <sheet name="1.68" sheetId="1" r:id="rId1"/>
    <sheet name="2.68" sheetId="2" r:id="rId2"/>
    <sheet name="3.68" sheetId="3" r:id="rId3"/>
    <sheet name="04.68" sheetId="4" r:id="rId4"/>
    <sheet name="04.68 (ภพ30)" sheetId="5" r:id="rId5"/>
    <sheet name="05.68" sheetId="7" r:id="rId6"/>
    <sheet name="06.68" sheetId="9" r:id="rId7"/>
    <sheet name="05.68 ภพ.30" sheetId="8" r:id="rId8"/>
    <sheet name="07.68" sheetId="10" r:id="rId9"/>
    <sheet name="08.68" sheetId="13" r:id="rId10"/>
    <sheet name="07.68 ภพ.30" sheetId="12" r:id="rId11"/>
    <sheet name="08.68 ภพ.30" sheetId="14" r:id="rId12"/>
    <sheet name="09.68" sheetId="15" r:id="rId13"/>
    <sheet name="09.68 ภพ.30 (2)" sheetId="16" r:id="rId14"/>
    <sheet name="10.68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" i="17" l="1"/>
  <c r="C7" i="16"/>
  <c r="C18" i="15"/>
  <c r="C17" i="15"/>
  <c r="C16" i="15"/>
  <c r="C12" i="15"/>
  <c r="C7" i="14"/>
  <c r="C18" i="13"/>
  <c r="C17" i="13"/>
  <c r="C16" i="13"/>
  <c r="C12" i="13"/>
  <c r="C7" i="12"/>
  <c r="C18" i="10"/>
  <c r="C17" i="10"/>
  <c r="C16" i="10"/>
  <c r="C19" i="9"/>
  <c r="C18" i="9"/>
  <c r="C13" i="9"/>
  <c r="C6" i="9"/>
  <c r="C17" i="9" s="1"/>
  <c r="C9" i="8"/>
  <c r="C9" i="7"/>
  <c r="C14" i="7" s="1"/>
  <c r="C7" i="5"/>
  <c r="C18" i="4"/>
  <c r="C16" i="4"/>
  <c r="C20" i="4"/>
  <c r="C19" i="4"/>
  <c r="C7" i="4"/>
  <c r="C20" i="3"/>
  <c r="C18" i="3"/>
  <c r="C19" i="3"/>
  <c r="C8" i="3"/>
  <c r="C16" i="3" s="1"/>
  <c r="C22" i="2"/>
  <c r="C20" i="2"/>
  <c r="C21" i="2"/>
  <c r="C9" i="2"/>
  <c r="C18" i="2" s="1"/>
  <c r="C18" i="1"/>
  <c r="C9" i="1"/>
  <c r="C14" i="1" s="1"/>
  <c r="C17" i="1"/>
  <c r="C16" i="1"/>
  <c r="C12" i="10" l="1"/>
</calcChain>
</file>

<file path=xl/sharedStrings.xml><?xml version="1.0" encoding="utf-8"?>
<sst xmlns="http://schemas.openxmlformats.org/spreadsheetml/2006/main" count="234" uniqueCount="51">
  <si>
    <t>บริษัท เน็กซ์สเต็ป แมเนจเม้นท์ จำกัด</t>
  </si>
  <si>
    <t>0105564065416</t>
  </si>
  <si>
    <t>แบบภาษี</t>
  </si>
  <si>
    <t>จำนวนเงิน</t>
  </si>
  <si>
    <t>ภงด.1</t>
  </si>
  <si>
    <t>ภงด.3</t>
  </si>
  <si>
    <t>ภงด.53</t>
  </si>
  <si>
    <t>ปกส.</t>
  </si>
  <si>
    <t>รวม</t>
  </si>
  <si>
    <t>รวมภงด.ที่ต้องชำระ</t>
  </si>
  <si>
    <t>รวมประกันสังคมที่ต้องชำระ</t>
  </si>
  <si>
    <t xml:space="preserve">ยอดที่ต้องชำระภพ.30 </t>
  </si>
  <si>
    <t>ภงด.1 40(2)</t>
  </si>
  <si>
    <t>ประจำเดือน มกราคม 2568</t>
  </si>
  <si>
    <t>จ่ายชำระแล้ว</t>
  </si>
  <si>
    <t>ภพ.30</t>
  </si>
  <si>
    <t>ประจำเดือน กุมภาพันธ์ 2568</t>
  </si>
  <si>
    <t>เบี้ยปรับเงินเพิ่ม</t>
  </si>
  <si>
    <t>จ่ายแล้ว</t>
  </si>
  <si>
    <t>ยอดที่ต้องชำระ</t>
  </si>
  <si>
    <t>ภพ.30 (ยื่นรอบแรก)</t>
  </si>
  <si>
    <t>เบี้ยปรับ</t>
  </si>
  <si>
    <t>เงินเพิ่ม</t>
  </si>
  <si>
    <t>ค่าปรับอาญา</t>
  </si>
  <si>
    <t>ชำระแล้ว</t>
  </si>
  <si>
    <t xml:space="preserve">ภพ.30 </t>
  </si>
  <si>
    <t>ไม่มียอดที่ต้องชำระ</t>
  </si>
  <si>
    <t>ภงด.53 2.68</t>
  </si>
  <si>
    <t>ประจำเดือน มีนาคม 2568</t>
  </si>
  <si>
    <t>ประจำเดือน เมษายน 2568</t>
  </si>
  <si>
    <t>ภงด.53 03.68</t>
  </si>
  <si>
    <t>ประจำเดือน พฤษภาคม 2568</t>
  </si>
  <si>
    <t>เกินกำหนด/ยอดแรก</t>
  </si>
  <si>
    <t>อยู่ระหว่างดำเนินการ</t>
  </si>
  <si>
    <t>ภงด.</t>
  </si>
  <si>
    <t>ประกันสังคม</t>
  </si>
  <si>
    <t>ประจำเดือน มิถุนายน 2568</t>
  </si>
  <si>
    <t>ประจำเดือน กรกฎาคม 2568</t>
  </si>
  <si>
    <t>ไม่มียอดชำระ</t>
  </si>
  <si>
    <t>ประจำเดือน สิงหาคม 2568</t>
  </si>
  <si>
    <t>ภธ.40</t>
  </si>
  <si>
    <t>ภาษีภงด.</t>
  </si>
  <si>
    <t>ภาษีมูลค่าเพิ่ม</t>
  </si>
  <si>
    <t>ประจำเดือน กันยายน 2568</t>
  </si>
  <si>
    <t>ภงก.1 08.68 เพิ่มเติม 2</t>
  </si>
  <si>
    <t xml:space="preserve">ภ.พ.30 </t>
  </si>
  <si>
    <t>บริษัท xxx จำกัด</t>
  </si>
  <si>
    <t>xxxxxxxxxxxxx</t>
  </si>
  <si>
    <t>ประจำเดือน xx xxxx</t>
  </si>
  <si>
    <t>x,xxx</t>
  </si>
  <si>
    <t>กองทุน กยศ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</si>
</sst>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6"/>
      <color rgb="FF009900"/>
      <name val="Angsana New"/>
      <family val="1"/>
    </font>
    <font>
      <sz val="16"/>
      <color rgb="FF1C1C1C"/>
      <name val="Angsana New"/>
      <family val="1"/>
    </font>
    <font>
      <b/>
      <sz val="12"/>
      <color rgb="FF00B050"/>
      <name val="Angsana New"/>
      <family val="1"/>
    </font>
    <font>
      <b/>
      <sz val="12"/>
      <color rgb="FFFF0000"/>
      <name val="Angsana New"/>
      <family val="1"/>
    </font>
    <font>
      <b/>
      <sz val="11"/>
      <color rgb="FF00B050"/>
      <name val="Angsana New"/>
      <family val="1"/>
    </font>
    <font>
      <b/>
      <sz val="16"/>
      <color rgb="FFFF0000"/>
      <name val="Angsana New"/>
      <family val="1"/>
    </font>
    <font>
      <sz val="8"/>
      <name val="Tahoma"/>
      <family val="2"/>
      <charset val="222"/>
      <scheme val="minor"/>
    </font>
    <font>
      <b/>
      <sz val="16"/>
      <name val="Angsana New"/>
      <family val="1"/>
    </font>
    <font>
      <b/>
      <sz val="16"/>
      <color theme="6" tint="0.39997558519241921"/>
      <name val="Angsana New"/>
      <family val="1"/>
    </font>
    <font>
      <b/>
      <sz val="16"/>
      <color theme="6" tint="-0.249977111117893"/>
      <name val="Angsana New"/>
      <family val="1"/>
    </font>
    <font>
      <b/>
      <sz val="12"/>
      <color theme="6" tint="-0.249977111117893"/>
      <name val="Angsana New"/>
      <family val="1"/>
    </font>
    <font>
      <b/>
      <sz val="12"/>
      <color rgb="FF009900"/>
      <name val="Angsana New"/>
      <family val="1"/>
    </font>
    <font>
      <sz val="16"/>
      <name val="Angsana New"/>
      <family val="1"/>
    </font>
    <font>
      <b/>
      <sz val="11"/>
      <color rgb="FFFF0000"/>
      <name val="Angsana New"/>
      <family val="1"/>
    </font>
    <font>
      <b/>
      <sz val="18"/>
      <name val="Angsana New"/>
      <family val="1"/>
    </font>
    <font>
      <b/>
      <sz val="11"/>
      <color theme="1"/>
      <name val="Tahoma"/>
      <family val="2"/>
      <scheme val="minor"/>
    </font>
    <font>
      <b/>
      <sz val="16"/>
      <name val="AngsanaUPC"/>
      <family val="1"/>
    </font>
    <font>
      <sz val="16"/>
      <name val="AngsanaUPC"/>
      <family val="1"/>
    </font>
    <font>
      <sz val="16"/>
      <color rgb="FF1C1C1C"/>
      <name val="AngsanaUPC"/>
      <family val="1"/>
    </font>
    <font>
      <sz val="16"/>
      <color theme="1"/>
      <name val="AngsanaUPC"/>
      <family val="1"/>
    </font>
    <font>
      <b/>
      <sz val="14"/>
      <color theme="1"/>
      <name val="Angsana New"/>
      <family val="1"/>
    </font>
    <font>
      <b/>
      <sz val="16"/>
      <color theme="1"/>
      <name val="AngsanaUPC"/>
      <family val="1"/>
      <charset val="222"/>
    </font>
    <font>
      <b/>
      <sz val="16"/>
      <color rgb="FF1C1C1C"/>
      <name val="AngsanaUPC"/>
      <family val="1"/>
      <charset val="222"/>
    </font>
    <font>
      <b/>
      <sz val="16"/>
      <color theme="1"/>
      <name val="AngsanaUPC"/>
      <family val="1"/>
    </font>
    <font>
      <b/>
      <sz val="16"/>
      <color rgb="FFFF0000"/>
      <name val="AngsanaUPC"/>
      <family val="1"/>
    </font>
    <font>
      <b/>
      <sz val="12"/>
      <color rgb="FF00B050"/>
      <name val="AngsanaUPC"/>
      <family val="1"/>
    </font>
    <font>
      <b/>
      <sz val="14"/>
      <color rgb="FF00B050"/>
      <name val="AngsanaUPC"/>
      <family val="1"/>
    </font>
    <font>
      <b/>
      <sz val="16"/>
      <color rgb="FF1C1C1C"/>
      <name val="AngsanaUPC"/>
      <family val="1"/>
    </font>
    <font>
      <b/>
      <sz val="16"/>
      <color rgb="FF00B050"/>
      <name val="AngsanaUPC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0" borderId="1" xfId="0" applyFont="1" applyBorder="1"/>
    <xf numFmtId="43" fontId="4" fillId="0" borderId="1" xfId="1" applyFont="1" applyFill="1" applyBorder="1"/>
    <xf numFmtId="0" fontId="5" fillId="0" borderId="0" xfId="0" applyFont="1"/>
    <xf numFmtId="4" fontId="6" fillId="0" borderId="1" xfId="0" applyNumberFormat="1" applyFont="1" applyBorder="1"/>
    <xf numFmtId="0" fontId="7" fillId="0" borderId="0" xfId="0" applyFont="1"/>
    <xf numFmtId="0" fontId="8" fillId="0" borderId="0" xfId="0" applyFont="1"/>
    <xf numFmtId="0" fontId="3" fillId="2" borderId="1" xfId="0" applyFont="1" applyFill="1" applyBorder="1"/>
    <xf numFmtId="43" fontId="3" fillId="2" borderId="1" xfId="1" applyFont="1" applyFill="1" applyBorder="1"/>
    <xf numFmtId="0" fontId="9" fillId="0" borderId="0" xfId="0" applyFont="1"/>
    <xf numFmtId="0" fontId="3" fillId="4" borderId="0" xfId="0" quotePrefix="1" applyFont="1" applyFill="1"/>
    <xf numFmtId="43" fontId="10" fillId="4" borderId="0" xfId="0" applyNumberFormat="1" applyFont="1" applyFill="1"/>
    <xf numFmtId="0" fontId="3" fillId="4" borderId="0" xfId="0" applyFont="1" applyFill="1"/>
    <xf numFmtId="0" fontId="12" fillId="4" borderId="0" xfId="0" applyFont="1" applyFill="1"/>
    <xf numFmtId="4" fontId="10" fillId="4" borderId="0" xfId="0" applyNumberFormat="1" applyFont="1" applyFill="1"/>
    <xf numFmtId="4" fontId="8" fillId="0" borderId="0" xfId="0" applyNumberFormat="1" applyFont="1"/>
    <xf numFmtId="4" fontId="13" fillId="4" borderId="0" xfId="0" applyNumberFormat="1" applyFont="1" applyFill="1"/>
    <xf numFmtId="43" fontId="4" fillId="5" borderId="1" xfId="1" applyFont="1" applyFill="1" applyBorder="1"/>
    <xf numFmtId="4" fontId="14" fillId="5" borderId="1" xfId="0" applyNumberFormat="1" applyFont="1" applyFill="1" applyBorder="1"/>
    <xf numFmtId="0" fontId="14" fillId="5" borderId="1" xfId="0" applyFont="1" applyFill="1" applyBorder="1"/>
    <xf numFmtId="0" fontId="15" fillId="5" borderId="1" xfId="0" applyFont="1" applyFill="1" applyBorder="1"/>
    <xf numFmtId="0" fontId="16" fillId="0" borderId="0" xfId="0" applyFont="1"/>
    <xf numFmtId="43" fontId="17" fillId="0" borderId="1" xfId="1" applyFont="1" applyFill="1" applyBorder="1" applyAlignment="1"/>
    <xf numFmtId="4" fontId="17" fillId="0" borderId="1" xfId="0" applyNumberFormat="1" applyFont="1" applyBorder="1"/>
    <xf numFmtId="0" fontId="18" fillId="0" borderId="1" xfId="0" applyFont="1" applyBorder="1"/>
    <xf numFmtId="0" fontId="12" fillId="0" borderId="1" xfId="0" applyFont="1" applyBorder="1"/>
    <xf numFmtId="0" fontId="19" fillId="0" borderId="1" xfId="0" applyFont="1" applyBorder="1"/>
    <xf numFmtId="0" fontId="20" fillId="0" borderId="0" xfId="0" applyFont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1" fillId="0" borderId="4" xfId="0" applyFont="1" applyBorder="1"/>
    <xf numFmtId="43" fontId="22" fillId="0" borderId="5" xfId="1" applyFont="1" applyFill="1" applyBorder="1" applyAlignment="1"/>
    <xf numFmtId="4" fontId="22" fillId="0" borderId="5" xfId="0" applyNumberFormat="1" applyFont="1" applyBorder="1"/>
    <xf numFmtId="0" fontId="23" fillId="0" borderId="5" xfId="0" applyFont="1" applyBorder="1"/>
    <xf numFmtId="0" fontId="3" fillId="2" borderId="6" xfId="0" applyFont="1" applyFill="1" applyBorder="1"/>
    <xf numFmtId="43" fontId="3" fillId="2" borderId="7" xfId="1" applyFont="1" applyFill="1" applyBorder="1"/>
    <xf numFmtId="0" fontId="12" fillId="6" borderId="0" xfId="0" applyFont="1" applyFill="1"/>
    <xf numFmtId="4" fontId="10" fillId="6" borderId="0" xfId="0" applyNumberFormat="1" applyFont="1" applyFill="1"/>
    <xf numFmtId="0" fontId="3" fillId="6" borderId="0" xfId="0" quotePrefix="1" applyFont="1" applyFill="1"/>
    <xf numFmtId="43" fontId="10" fillId="6" borderId="0" xfId="0" applyNumberFormat="1" applyFont="1" applyFill="1"/>
    <xf numFmtId="0" fontId="3" fillId="6" borderId="0" xfId="0" applyFont="1" applyFill="1"/>
    <xf numFmtId="0" fontId="21" fillId="0" borderId="8" xfId="0" applyFont="1" applyBorder="1"/>
    <xf numFmtId="43" fontId="22" fillId="0" borderId="9" xfId="1" applyFont="1" applyFill="1" applyBorder="1" applyAlignment="1"/>
    <xf numFmtId="43" fontId="24" fillId="0" borderId="1" xfId="1" applyFont="1" applyFill="1" applyBorder="1"/>
    <xf numFmtId="4" fontId="23" fillId="0" borderId="1" xfId="0" applyNumberFormat="1" applyFont="1" applyBorder="1"/>
    <xf numFmtId="0" fontId="24" fillId="0" borderId="1" xfId="0" applyFont="1" applyBorder="1"/>
    <xf numFmtId="0" fontId="0" fillId="7" borderId="0" xfId="0" applyFill="1"/>
    <xf numFmtId="43" fontId="0" fillId="7" borderId="0" xfId="0" applyNumberFormat="1" applyFill="1"/>
    <xf numFmtId="0" fontId="25" fillId="0" borderId="1" xfId="0" applyFont="1" applyBorder="1"/>
    <xf numFmtId="43" fontId="26" fillId="0" borderId="1" xfId="1" applyFont="1" applyFill="1" applyBorder="1"/>
    <xf numFmtId="4" fontId="27" fillId="0" borderId="1" xfId="0" applyNumberFormat="1" applyFont="1" applyBorder="1"/>
    <xf numFmtId="0" fontId="28" fillId="8" borderId="0" xfId="0" applyFont="1" applyFill="1"/>
    <xf numFmtId="43" fontId="10" fillId="2" borderId="1" xfId="1" applyFont="1" applyFill="1" applyBorder="1"/>
    <xf numFmtId="43" fontId="29" fillId="8" borderId="0" xfId="0" applyNumberFormat="1" applyFont="1" applyFill="1"/>
    <xf numFmtId="0" fontId="30" fillId="0" borderId="1" xfId="0" applyFont="1" applyBorder="1" applyAlignment="1">
      <alignment horizontal="center" vertical="center"/>
    </xf>
    <xf numFmtId="43" fontId="31" fillId="0" borderId="1" xfId="1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/>
    </xf>
    <xf numFmtId="0" fontId="28" fillId="0" borderId="1" xfId="0" applyFont="1" applyBorder="1"/>
    <xf numFmtId="4" fontId="32" fillId="0" borderId="1" xfId="0" applyNumberFormat="1" applyFont="1" applyBorder="1"/>
    <xf numFmtId="43" fontId="28" fillId="0" borderId="1" xfId="1" applyFont="1" applyFill="1" applyBorder="1"/>
    <xf numFmtId="0" fontId="28" fillId="2" borderId="1" xfId="0" applyFont="1" applyFill="1" applyBorder="1"/>
    <xf numFmtId="0" fontId="24" fillId="0" borderId="0" xfId="0" applyFont="1"/>
    <xf numFmtId="43" fontId="33" fillId="0" borderId="1" xfId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28" fillId="8" borderId="1" xfId="0" applyFont="1" applyFill="1" applyBorder="1"/>
    <xf numFmtId="43" fontId="21" fillId="2" borderId="1" xfId="1" applyFont="1" applyFill="1" applyBorder="1"/>
    <xf numFmtId="43" fontId="29" fillId="8" borderId="1" xfId="0" applyNumberFormat="1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8" fillId="9" borderId="1" xfId="0" applyFont="1" applyFill="1" applyBorder="1" applyAlignment="1">
      <alignment horizontal="center"/>
    </xf>
    <xf numFmtId="0" fontId="28" fillId="9" borderId="1" xfId="0" quotePrefix="1" applyFont="1" applyFill="1" applyBorder="1" applyAlignment="1">
      <alignment horizontal="center"/>
    </xf>
  </cellXfs>
  <cellStyles count="2">
    <cellStyle name="จุลภาค 2" xfId="1" xr:uid="{4A304FFC-A7FA-439D-8EA9-F934287C2723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6A90-0900-4B9A-BE24-48FC7BB336E0}">
  <dimension ref="B4:D18"/>
  <sheetViews>
    <sheetView workbookViewId="0">
      <selection sqref="A1:XFD1048576"/>
    </sheetView>
  </sheetViews>
  <sheetFormatPr defaultRowHeight="14.25" x14ac:dyDescent="0.2"/>
  <cols>
    <col min="2" max="2" width="21" customWidth="1"/>
    <col min="3" max="3" width="19.625" customWidth="1"/>
    <col min="4" max="4" width="31.375" customWidth="1"/>
  </cols>
  <sheetData>
    <row r="4" spans="2:4" ht="26.25" x14ac:dyDescent="0.55000000000000004">
      <c r="B4" s="69" t="s">
        <v>0</v>
      </c>
      <c r="C4" s="69"/>
    </row>
    <row r="5" spans="2:4" ht="26.25" x14ac:dyDescent="0.55000000000000004">
      <c r="B5" s="70" t="s">
        <v>1</v>
      </c>
      <c r="C5" s="69"/>
    </row>
    <row r="6" spans="2:4" ht="26.25" x14ac:dyDescent="0.55000000000000004">
      <c r="B6" s="69" t="s">
        <v>13</v>
      </c>
      <c r="C6" s="69"/>
    </row>
    <row r="7" spans="2:4" ht="23.25" x14ac:dyDescent="0.5">
      <c r="B7" s="1" t="s">
        <v>2</v>
      </c>
      <c r="C7" s="1" t="s">
        <v>3</v>
      </c>
    </row>
    <row r="8" spans="2:4" ht="23.25" x14ac:dyDescent="0.5">
      <c r="B8" s="2" t="s">
        <v>4</v>
      </c>
      <c r="C8" s="3">
        <v>0</v>
      </c>
      <c r="D8" s="4"/>
    </row>
    <row r="9" spans="2:4" ht="23.25" x14ac:dyDescent="0.5">
      <c r="B9" s="2" t="s">
        <v>12</v>
      </c>
      <c r="C9" s="3">
        <f>-G14</f>
        <v>0</v>
      </c>
      <c r="D9" s="4"/>
    </row>
    <row r="10" spans="2:4" ht="23.25" x14ac:dyDescent="0.5">
      <c r="B10" s="2" t="s">
        <v>5</v>
      </c>
      <c r="C10" s="5">
        <v>4403.12</v>
      </c>
      <c r="D10" s="6" t="s">
        <v>14</v>
      </c>
    </row>
    <row r="11" spans="2:4" ht="23.25" x14ac:dyDescent="0.5">
      <c r="B11" s="2" t="s">
        <v>6</v>
      </c>
      <c r="C11" s="5">
        <v>174</v>
      </c>
      <c r="D11" s="6" t="s">
        <v>14</v>
      </c>
    </row>
    <row r="12" spans="2:4" ht="23.25" x14ac:dyDescent="0.5">
      <c r="B12" s="2" t="s">
        <v>7</v>
      </c>
      <c r="C12" s="3">
        <v>91000</v>
      </c>
      <c r="D12" s="7"/>
    </row>
    <row r="13" spans="2:4" ht="23.25" x14ac:dyDescent="0.5">
      <c r="B13" s="2" t="s">
        <v>15</v>
      </c>
      <c r="C13" s="3">
        <v>31795.61</v>
      </c>
      <c r="D13" s="7"/>
    </row>
    <row r="14" spans="2:4" ht="23.25" x14ac:dyDescent="0.5">
      <c r="B14" s="8" t="s">
        <v>8</v>
      </c>
      <c r="C14" s="9">
        <f>SUM(C8:C12)</f>
        <v>95577.12</v>
      </c>
    </row>
    <row r="16" spans="2:4" ht="23.25" x14ac:dyDescent="0.5">
      <c r="B16" s="14" t="s">
        <v>9</v>
      </c>
      <c r="C16" s="15">
        <f>SUM(C10+C11)</f>
        <v>4577.12</v>
      </c>
      <c r="D16" s="10"/>
    </row>
    <row r="17" spans="2:3" ht="23.25" x14ac:dyDescent="0.5">
      <c r="B17" s="11" t="s">
        <v>10</v>
      </c>
      <c r="C17" s="12">
        <f>C12</f>
        <v>91000</v>
      </c>
    </row>
    <row r="18" spans="2:3" ht="23.25" x14ac:dyDescent="0.5">
      <c r="B18" s="13" t="s">
        <v>11</v>
      </c>
      <c r="C18" s="12">
        <f>SUM(C13)</f>
        <v>31795.61</v>
      </c>
    </row>
  </sheetData>
  <mergeCells count="3">
    <mergeCell ref="B4:C4"/>
    <mergeCell ref="B5:C5"/>
    <mergeCell ref="B6:C6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5A27-BDEA-4DB4-87EF-4DF987AAE1D6}">
  <dimension ref="B4:D22"/>
  <sheetViews>
    <sheetView topLeftCell="A7" workbookViewId="0">
      <selection activeCell="A3" sqref="A3:D22"/>
    </sheetView>
  </sheetViews>
  <sheetFormatPr defaultRowHeight="14.25" x14ac:dyDescent="0.2"/>
  <cols>
    <col min="2" max="2" width="21.25" bestFit="1" customWidth="1"/>
    <col min="3" max="3" width="18.125" customWidth="1"/>
    <col min="4" max="4" width="28.5" customWidth="1"/>
  </cols>
  <sheetData>
    <row r="4" spans="2:4" ht="26.25" x14ac:dyDescent="0.55000000000000004">
      <c r="B4" s="69" t="s">
        <v>0</v>
      </c>
      <c r="C4" s="69"/>
    </row>
    <row r="5" spans="2:4" ht="26.25" x14ac:dyDescent="0.55000000000000004">
      <c r="B5" s="70" t="s">
        <v>1</v>
      </c>
      <c r="C5" s="69"/>
    </row>
    <row r="6" spans="2:4" ht="26.25" x14ac:dyDescent="0.55000000000000004">
      <c r="B6" s="69" t="s">
        <v>16</v>
      </c>
      <c r="C6" s="69"/>
    </row>
    <row r="7" spans="2:4" ht="23.25" x14ac:dyDescent="0.5">
      <c r="B7" s="1" t="s">
        <v>2</v>
      </c>
      <c r="C7" s="1" t="s">
        <v>3</v>
      </c>
    </row>
    <row r="8" spans="2:4" ht="23.25" x14ac:dyDescent="0.5">
      <c r="B8" s="20" t="s">
        <v>4</v>
      </c>
      <c r="C8" s="18">
        <v>0</v>
      </c>
      <c r="D8" s="4"/>
    </row>
    <row r="9" spans="2:4" ht="23.25" x14ac:dyDescent="0.5">
      <c r="B9" s="20" t="s">
        <v>12</v>
      </c>
      <c r="C9" s="18">
        <f>-G18</f>
        <v>0</v>
      </c>
      <c r="D9" s="4"/>
    </row>
    <row r="10" spans="2:4" ht="23.25" x14ac:dyDescent="0.5">
      <c r="B10" s="20" t="s">
        <v>5</v>
      </c>
      <c r="C10" s="19">
        <v>4701.75</v>
      </c>
      <c r="D10" s="6" t="s">
        <v>18</v>
      </c>
    </row>
    <row r="11" spans="2:4" ht="23.25" x14ac:dyDescent="0.5">
      <c r="B11" s="20" t="s">
        <v>6</v>
      </c>
      <c r="C11" s="19">
        <v>2578.19</v>
      </c>
      <c r="D11" s="6" t="s">
        <v>18</v>
      </c>
    </row>
    <row r="12" spans="2:4" ht="23.25" x14ac:dyDescent="0.5">
      <c r="B12" s="21" t="s">
        <v>17</v>
      </c>
      <c r="C12" s="19">
        <v>5.17</v>
      </c>
      <c r="D12" s="6" t="s">
        <v>18</v>
      </c>
    </row>
    <row r="13" spans="2:4" ht="23.25" x14ac:dyDescent="0.5">
      <c r="B13" s="2" t="s">
        <v>7</v>
      </c>
      <c r="C13" s="3">
        <v>95690</v>
      </c>
      <c r="D13" s="16" t="s">
        <v>19</v>
      </c>
    </row>
    <row r="14" spans="2:4" ht="23.25" x14ac:dyDescent="0.5">
      <c r="B14" s="2" t="s">
        <v>20</v>
      </c>
      <c r="C14" s="3">
        <v>49503.22</v>
      </c>
      <c r="D14" s="7" t="s">
        <v>19</v>
      </c>
    </row>
    <row r="15" spans="2:4" ht="23.25" x14ac:dyDescent="0.5">
      <c r="B15" s="2" t="s">
        <v>21</v>
      </c>
      <c r="C15" s="3">
        <v>1980.13</v>
      </c>
      <c r="D15" s="7" t="s">
        <v>19</v>
      </c>
    </row>
    <row r="16" spans="2:4" ht="23.25" x14ac:dyDescent="0.5">
      <c r="B16" s="2" t="s">
        <v>22</v>
      </c>
      <c r="C16" s="3">
        <v>742.55</v>
      </c>
      <c r="D16" s="7" t="s">
        <v>19</v>
      </c>
    </row>
    <row r="17" spans="2:4" ht="23.25" x14ac:dyDescent="0.5">
      <c r="B17" s="2" t="s">
        <v>23</v>
      </c>
      <c r="C17" s="3">
        <v>300</v>
      </c>
      <c r="D17" s="7" t="s">
        <v>19</v>
      </c>
    </row>
    <row r="18" spans="2:4" ht="23.25" x14ac:dyDescent="0.5">
      <c r="B18" s="8" t="s">
        <v>8</v>
      </c>
      <c r="C18" s="9">
        <f>SUM(C8:C17)</f>
        <v>155501.01</v>
      </c>
    </row>
    <row r="20" spans="2:4" ht="23.25" x14ac:dyDescent="0.5">
      <c r="B20" s="14" t="s">
        <v>9</v>
      </c>
      <c r="C20" s="17">
        <f>SUM(C10+C11+C12)</f>
        <v>7285.1100000000006</v>
      </c>
      <c r="D20" s="10" t="s">
        <v>24</v>
      </c>
    </row>
    <row r="21" spans="2:4" ht="23.25" x14ac:dyDescent="0.5">
      <c r="B21" s="11" t="s">
        <v>10</v>
      </c>
      <c r="C21" s="12">
        <f>C13</f>
        <v>95690</v>
      </c>
      <c r="D21" s="7" t="s">
        <v>19</v>
      </c>
    </row>
    <row r="22" spans="2:4" ht="23.25" x14ac:dyDescent="0.5">
      <c r="B22" s="13" t="s">
        <v>11</v>
      </c>
      <c r="C22" s="12">
        <f>SUM(C14:C17)</f>
        <v>52525.9</v>
      </c>
      <c r="D22" s="7" t="s">
        <v>19</v>
      </c>
    </row>
  </sheetData>
  <mergeCells count="3">
    <mergeCell ref="B4:C4"/>
    <mergeCell ref="B5:C5"/>
    <mergeCell ref="B6:C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1C7E-968B-48C2-95B9-BBE09FDCE3D2}">
  <dimension ref="B3:E20"/>
  <sheetViews>
    <sheetView zoomScaleNormal="100" workbookViewId="0">
      <selection activeCell="A2" sqref="A2:D21"/>
    </sheetView>
  </sheetViews>
  <sheetFormatPr defaultRowHeight="14.25" x14ac:dyDescent="0.2"/>
  <cols>
    <col min="2" max="2" width="23" customWidth="1"/>
    <col min="3" max="3" width="22.25" customWidth="1"/>
    <col min="4" max="4" width="15.375" bestFit="1" customWidth="1"/>
  </cols>
  <sheetData>
    <row r="3" spans="2:5" ht="26.25" x14ac:dyDescent="0.55000000000000004">
      <c r="B3" s="69" t="s">
        <v>0</v>
      </c>
      <c r="C3" s="69"/>
    </row>
    <row r="4" spans="2:5" ht="26.25" x14ac:dyDescent="0.55000000000000004">
      <c r="B4" s="70" t="s">
        <v>1</v>
      </c>
      <c r="C4" s="69"/>
    </row>
    <row r="5" spans="2:5" ht="26.25" x14ac:dyDescent="0.55000000000000004">
      <c r="B5" s="69" t="s">
        <v>28</v>
      </c>
      <c r="C5" s="69"/>
    </row>
    <row r="6" spans="2:5" ht="23.25" x14ac:dyDescent="0.5">
      <c r="B6" s="1" t="s">
        <v>2</v>
      </c>
      <c r="C6" s="1" t="s">
        <v>3</v>
      </c>
    </row>
    <row r="7" spans="2:5" ht="23.25" x14ac:dyDescent="0.5">
      <c r="B7" s="26" t="s">
        <v>4</v>
      </c>
      <c r="C7" s="23">
        <v>0</v>
      </c>
      <c r="D7" s="22" t="s">
        <v>26</v>
      </c>
    </row>
    <row r="8" spans="2:5" ht="23.25" hidden="1" x14ac:dyDescent="0.5">
      <c r="B8" s="26" t="s">
        <v>12</v>
      </c>
      <c r="C8" s="23">
        <f>-G16</f>
        <v>0</v>
      </c>
      <c r="D8" s="4"/>
    </row>
    <row r="9" spans="2:5" ht="23.25" x14ac:dyDescent="0.5">
      <c r="B9" s="26" t="s">
        <v>5</v>
      </c>
      <c r="C9" s="24">
        <v>3982.33</v>
      </c>
      <c r="D9" s="6" t="s">
        <v>18</v>
      </c>
    </row>
    <row r="10" spans="2:5" ht="23.25" x14ac:dyDescent="0.5">
      <c r="B10" s="26" t="s">
        <v>27</v>
      </c>
      <c r="C10" s="24">
        <v>53.7</v>
      </c>
      <c r="D10" s="6" t="s">
        <v>18</v>
      </c>
    </row>
    <row r="11" spans="2:5" ht="23.25" x14ac:dyDescent="0.5">
      <c r="B11" s="25" t="s">
        <v>17</v>
      </c>
      <c r="C11" s="24">
        <v>0.81</v>
      </c>
      <c r="D11" s="6" t="s">
        <v>18</v>
      </c>
    </row>
    <row r="12" spans="2:5" ht="26.25" x14ac:dyDescent="0.55000000000000004">
      <c r="B12" s="27" t="s">
        <v>6</v>
      </c>
      <c r="C12" s="24">
        <v>858</v>
      </c>
      <c r="D12" s="6" t="s">
        <v>18</v>
      </c>
    </row>
    <row r="13" spans="2:5" ht="26.25" x14ac:dyDescent="0.55000000000000004">
      <c r="B13" s="27" t="s">
        <v>7</v>
      </c>
      <c r="C13" s="23">
        <v>95656</v>
      </c>
      <c r="D13" s="16" t="s">
        <v>19</v>
      </c>
    </row>
    <row r="14" spans="2:5" ht="26.25" x14ac:dyDescent="0.55000000000000004">
      <c r="B14" s="27" t="s">
        <v>25</v>
      </c>
      <c r="C14" s="23">
        <v>36887.839999999997</v>
      </c>
      <c r="D14" s="7" t="s">
        <v>19</v>
      </c>
    </row>
    <row r="15" spans="2:5" ht="26.25" x14ac:dyDescent="0.55000000000000004">
      <c r="B15" s="27" t="s">
        <v>17</v>
      </c>
      <c r="C15" s="23">
        <v>1324.86</v>
      </c>
      <c r="D15" s="7"/>
    </row>
    <row r="16" spans="2:5" ht="23.25" x14ac:dyDescent="0.5">
      <c r="B16" s="8" t="s">
        <v>8</v>
      </c>
      <c r="C16" s="9">
        <f>SUM(C7:C14)</f>
        <v>137438.68</v>
      </c>
      <c r="E16" s="28"/>
    </row>
    <row r="18" spans="2:4" ht="23.25" x14ac:dyDescent="0.5">
      <c r="B18" s="14" t="s">
        <v>9</v>
      </c>
      <c r="C18" s="15">
        <f>SUM(C9+C10+C11+C12)</f>
        <v>4894.84</v>
      </c>
      <c r="D18" s="10"/>
    </row>
    <row r="19" spans="2:4" ht="23.25" x14ac:dyDescent="0.5">
      <c r="B19" s="11" t="s">
        <v>10</v>
      </c>
      <c r="C19" s="12">
        <f>C13</f>
        <v>95656</v>
      </c>
      <c r="D19" s="7"/>
    </row>
    <row r="20" spans="2:4" ht="23.25" x14ac:dyDescent="0.5">
      <c r="B20" s="13" t="s">
        <v>11</v>
      </c>
      <c r="C20" s="12">
        <f>SUM(C14:C15)</f>
        <v>38212.699999999997</v>
      </c>
      <c r="D20" s="7"/>
    </row>
  </sheetData>
  <mergeCells count="3">
    <mergeCell ref="B3:C3"/>
    <mergeCell ref="B4:C4"/>
    <mergeCell ref="B5:C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8104-1DC0-4F87-8B08-BC7F18C727D2}">
  <dimension ref="B1:D20"/>
  <sheetViews>
    <sheetView topLeftCell="A3" workbookViewId="0">
      <selection activeCell="D16" sqref="D16"/>
    </sheetView>
  </sheetViews>
  <sheetFormatPr defaultRowHeight="14.25" x14ac:dyDescent="0.2"/>
  <cols>
    <col min="2" max="2" width="21.125" customWidth="1"/>
    <col min="3" max="3" width="19.375" customWidth="1"/>
  </cols>
  <sheetData>
    <row r="1" spans="2:4" ht="15" thickBot="1" x14ac:dyDescent="0.25"/>
    <row r="2" spans="2:4" ht="26.25" x14ac:dyDescent="0.55000000000000004">
      <c r="B2" s="71" t="s">
        <v>0</v>
      </c>
      <c r="C2" s="72"/>
    </row>
    <row r="3" spans="2:4" ht="26.25" x14ac:dyDescent="0.55000000000000004">
      <c r="B3" s="73" t="s">
        <v>1</v>
      </c>
      <c r="C3" s="74"/>
    </row>
    <row r="4" spans="2:4" ht="26.25" x14ac:dyDescent="0.55000000000000004">
      <c r="B4" s="75" t="s">
        <v>29</v>
      </c>
      <c r="C4" s="74"/>
    </row>
    <row r="5" spans="2:4" ht="23.25" x14ac:dyDescent="0.5">
      <c r="B5" s="29" t="s">
        <v>2</v>
      </c>
      <c r="C5" s="30" t="s">
        <v>3</v>
      </c>
    </row>
    <row r="6" spans="2:4" ht="23.25" x14ac:dyDescent="0.5">
      <c r="B6" s="31" t="s">
        <v>4</v>
      </c>
      <c r="C6" s="32">
        <v>0</v>
      </c>
      <c r="D6" s="22" t="s">
        <v>26</v>
      </c>
    </row>
    <row r="7" spans="2:4" ht="23.25" x14ac:dyDescent="0.5">
      <c r="B7" s="31" t="s">
        <v>12</v>
      </c>
      <c r="C7" s="32">
        <f>-G16</f>
        <v>0</v>
      </c>
      <c r="D7" s="22" t="s">
        <v>26</v>
      </c>
    </row>
    <row r="8" spans="2:4" ht="23.25" x14ac:dyDescent="0.5">
      <c r="B8" s="31" t="s">
        <v>5</v>
      </c>
      <c r="C8" s="33">
        <v>3950</v>
      </c>
      <c r="D8" s="6"/>
    </row>
    <row r="9" spans="2:4" ht="23.25" x14ac:dyDescent="0.5">
      <c r="B9" s="31" t="s">
        <v>27</v>
      </c>
      <c r="C9" s="33">
        <v>105</v>
      </c>
      <c r="D9" s="6"/>
    </row>
    <row r="10" spans="2:4" ht="23.25" x14ac:dyDescent="0.5">
      <c r="B10" s="31" t="s">
        <v>17</v>
      </c>
      <c r="C10" s="33">
        <v>3.16</v>
      </c>
      <c r="D10" s="6"/>
    </row>
    <row r="11" spans="2:4" ht="23.25" x14ac:dyDescent="0.5">
      <c r="B11" s="31" t="s">
        <v>30</v>
      </c>
      <c r="C11" s="34">
        <v>840</v>
      </c>
      <c r="D11" s="6"/>
    </row>
    <row r="12" spans="2:4" ht="23.25" x14ac:dyDescent="0.5">
      <c r="B12" s="31" t="s">
        <v>17</v>
      </c>
      <c r="C12" s="33">
        <v>12.6</v>
      </c>
      <c r="D12" s="6"/>
    </row>
    <row r="13" spans="2:4" ht="23.25" x14ac:dyDescent="0.5">
      <c r="B13" s="31" t="s">
        <v>6</v>
      </c>
      <c r="C13" s="33">
        <v>1990.8</v>
      </c>
      <c r="D13" s="6"/>
    </row>
    <row r="14" spans="2:4" ht="23.25" x14ac:dyDescent="0.5">
      <c r="B14" s="31" t="s">
        <v>7</v>
      </c>
      <c r="C14" s="32">
        <v>105656</v>
      </c>
      <c r="D14" s="16"/>
    </row>
    <row r="15" spans="2:4" ht="23.25" x14ac:dyDescent="0.5">
      <c r="B15" s="31" t="s">
        <v>25</v>
      </c>
      <c r="C15" s="32"/>
      <c r="D15" s="7"/>
    </row>
    <row r="16" spans="2:4" ht="24" thickBot="1" x14ac:dyDescent="0.55000000000000004">
      <c r="B16" s="35" t="s">
        <v>8</v>
      </c>
      <c r="C16" s="36">
        <f>SUM(C6:C15)</f>
        <v>112557.56</v>
      </c>
    </row>
    <row r="18" spans="2:4" ht="23.25" x14ac:dyDescent="0.5">
      <c r="B18" s="14" t="s">
        <v>9</v>
      </c>
      <c r="C18" s="15">
        <f>SUM(C8+C9+C11+C10+C12+C13)</f>
        <v>6901.56</v>
      </c>
      <c r="D18" s="10"/>
    </row>
    <row r="19" spans="2:4" ht="23.25" x14ac:dyDescent="0.5">
      <c r="B19" s="11" t="s">
        <v>10</v>
      </c>
      <c r="C19" s="12">
        <f>C14</f>
        <v>105656</v>
      </c>
      <c r="D19" s="7"/>
    </row>
    <row r="20" spans="2:4" ht="23.25" x14ac:dyDescent="0.5">
      <c r="B20" s="13" t="s">
        <v>11</v>
      </c>
      <c r="C20" s="12">
        <f>SUM(C15:C15)</f>
        <v>0</v>
      </c>
      <c r="D20" s="7"/>
    </row>
  </sheetData>
  <mergeCells count="3">
    <mergeCell ref="B2:C2"/>
    <mergeCell ref="B3:C3"/>
    <mergeCell ref="B4:C4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8EDA-3261-4515-89C5-C78FEFB41DB2}">
  <dimension ref="B1:D11"/>
  <sheetViews>
    <sheetView workbookViewId="0">
      <selection activeCell="C6" sqref="C6"/>
    </sheetView>
  </sheetViews>
  <sheetFormatPr defaultRowHeight="14.25" x14ac:dyDescent="0.2"/>
  <cols>
    <col min="2" max="2" width="21.125" customWidth="1"/>
    <col min="3" max="3" width="19.375" customWidth="1"/>
  </cols>
  <sheetData>
    <row r="1" spans="2:4" ht="15" thickBot="1" x14ac:dyDescent="0.25"/>
    <row r="2" spans="2:4" ht="26.25" x14ac:dyDescent="0.55000000000000004">
      <c r="B2" s="71" t="s">
        <v>0</v>
      </c>
      <c r="C2" s="72"/>
    </row>
    <row r="3" spans="2:4" ht="26.25" x14ac:dyDescent="0.55000000000000004">
      <c r="B3" s="73" t="s">
        <v>1</v>
      </c>
      <c r="C3" s="74"/>
    </row>
    <row r="4" spans="2:4" ht="26.25" x14ac:dyDescent="0.55000000000000004">
      <c r="B4" s="75" t="s">
        <v>29</v>
      </c>
      <c r="C4" s="74"/>
    </row>
    <row r="5" spans="2:4" ht="23.25" x14ac:dyDescent="0.5">
      <c r="B5" s="29" t="s">
        <v>2</v>
      </c>
      <c r="C5" s="30" t="s">
        <v>3</v>
      </c>
    </row>
    <row r="6" spans="2:4" ht="23.25" x14ac:dyDescent="0.5">
      <c r="B6" s="31" t="s">
        <v>25</v>
      </c>
      <c r="C6" s="32">
        <v>32861.94</v>
      </c>
      <c r="D6" s="7"/>
    </row>
    <row r="7" spans="2:4" ht="24" thickBot="1" x14ac:dyDescent="0.55000000000000004">
      <c r="B7" s="35" t="s">
        <v>8</v>
      </c>
      <c r="C7" s="36">
        <f>SUM(C6:C6)</f>
        <v>32861.94</v>
      </c>
    </row>
    <row r="9" spans="2:4" ht="23.25" x14ac:dyDescent="0.5">
      <c r="B9" s="14"/>
      <c r="C9" s="15"/>
      <c r="D9" s="10"/>
    </row>
    <row r="10" spans="2:4" ht="23.25" x14ac:dyDescent="0.5">
      <c r="B10" s="11"/>
      <c r="C10" s="12"/>
      <c r="D10" s="7"/>
    </row>
    <row r="11" spans="2:4" ht="23.25" x14ac:dyDescent="0.5">
      <c r="B11" s="13"/>
      <c r="C11" s="12"/>
      <c r="D11" s="7"/>
    </row>
  </sheetData>
  <mergeCells count="3">
    <mergeCell ref="B2:C2"/>
    <mergeCell ref="B3:C3"/>
    <mergeCell ref="B4:C4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56AC-9638-4AA0-8DBA-B371E9B36F7F}">
  <dimension ref="B4:D18"/>
  <sheetViews>
    <sheetView workbookViewId="0">
      <selection activeCell="B18" sqref="B18"/>
    </sheetView>
  </sheetViews>
  <sheetFormatPr defaultRowHeight="14.25" x14ac:dyDescent="0.2"/>
  <cols>
    <col min="2" max="2" width="21" customWidth="1"/>
    <col min="3" max="3" width="19.625" customWidth="1"/>
    <col min="4" max="4" width="31.375" customWidth="1"/>
  </cols>
  <sheetData>
    <row r="4" spans="2:4" ht="26.25" x14ac:dyDescent="0.55000000000000004">
      <c r="B4" s="69" t="s">
        <v>0</v>
      </c>
      <c r="C4" s="69"/>
    </row>
    <row r="5" spans="2:4" ht="26.25" x14ac:dyDescent="0.55000000000000004">
      <c r="B5" s="70" t="s">
        <v>1</v>
      </c>
      <c r="C5" s="69"/>
    </row>
    <row r="6" spans="2:4" ht="26.25" x14ac:dyDescent="0.55000000000000004">
      <c r="B6" s="69" t="s">
        <v>13</v>
      </c>
      <c r="C6" s="69"/>
    </row>
    <row r="7" spans="2:4" ht="23.25" x14ac:dyDescent="0.5">
      <c r="B7" s="1" t="s">
        <v>2</v>
      </c>
      <c r="C7" s="1" t="s">
        <v>3</v>
      </c>
    </row>
    <row r="8" spans="2:4" ht="23.25" x14ac:dyDescent="0.5">
      <c r="B8" s="2" t="s">
        <v>4</v>
      </c>
      <c r="C8" s="3">
        <v>0</v>
      </c>
      <c r="D8" s="4"/>
    </row>
    <row r="9" spans="2:4" ht="23.25" x14ac:dyDescent="0.5">
      <c r="B9" s="2" t="s">
        <v>12</v>
      </c>
      <c r="C9" s="3">
        <f>-G14</f>
        <v>0</v>
      </c>
      <c r="D9" s="4"/>
    </row>
    <row r="10" spans="2:4" ht="23.25" x14ac:dyDescent="0.5">
      <c r="B10" s="2" t="s">
        <v>5</v>
      </c>
      <c r="C10" s="5">
        <v>647.78</v>
      </c>
      <c r="D10" s="6"/>
    </row>
    <row r="11" spans="2:4" ht="23.25" x14ac:dyDescent="0.5">
      <c r="B11" s="2" t="s">
        <v>6</v>
      </c>
      <c r="C11" s="5">
        <v>149.02000000000001</v>
      </c>
      <c r="D11" s="6"/>
    </row>
    <row r="12" spans="2:4" ht="23.25" x14ac:dyDescent="0.5">
      <c r="B12" s="2" t="s">
        <v>7</v>
      </c>
      <c r="C12" s="3">
        <v>112286</v>
      </c>
      <c r="D12" s="7"/>
    </row>
    <row r="13" spans="2:4" ht="23.25" x14ac:dyDescent="0.5">
      <c r="B13" s="2" t="s">
        <v>15</v>
      </c>
      <c r="C13" s="3"/>
      <c r="D13" s="7"/>
    </row>
    <row r="14" spans="2:4" ht="23.25" x14ac:dyDescent="0.5">
      <c r="B14" s="8" t="s">
        <v>8</v>
      </c>
      <c r="C14" s="9">
        <f>SUM(C8:C12)</f>
        <v>113082.8</v>
      </c>
    </row>
    <row r="16" spans="2:4" ht="23.25" x14ac:dyDescent="0.5">
      <c r="B16" s="37"/>
      <c r="C16" s="38"/>
      <c r="D16" s="10"/>
    </row>
    <row r="17" spans="2:3" ht="23.25" x14ac:dyDescent="0.5">
      <c r="B17" s="39"/>
      <c r="C17" s="40"/>
    </row>
    <row r="18" spans="2:3" ht="23.25" x14ac:dyDescent="0.5">
      <c r="B18" s="41"/>
      <c r="C18" s="40"/>
    </row>
  </sheetData>
  <mergeCells count="3">
    <mergeCell ref="B4:C4"/>
    <mergeCell ref="B5:C5"/>
    <mergeCell ref="B6:C6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0B6C-4832-488C-B629-8988B89EA084}">
  <dimension ref="B1:D19"/>
  <sheetViews>
    <sheetView workbookViewId="0">
      <selection sqref="A1:D19"/>
    </sheetView>
  </sheetViews>
  <sheetFormatPr defaultRowHeight="14.25" x14ac:dyDescent="0.2"/>
  <cols>
    <col min="2" max="2" width="25.75" customWidth="1"/>
    <col min="3" max="3" width="11.25" customWidth="1"/>
    <col min="4" max="4" width="16.25" bestFit="1" customWidth="1"/>
  </cols>
  <sheetData>
    <row r="1" spans="2:4" ht="26.25" x14ac:dyDescent="0.55000000000000004">
      <c r="B1" s="69" t="s">
        <v>0</v>
      </c>
      <c r="C1" s="69"/>
    </row>
    <row r="2" spans="2:4" ht="26.25" x14ac:dyDescent="0.55000000000000004">
      <c r="B2" s="70" t="s">
        <v>1</v>
      </c>
      <c r="C2" s="69"/>
    </row>
    <row r="3" spans="2:4" ht="26.25" x14ac:dyDescent="0.55000000000000004">
      <c r="B3" s="69" t="s">
        <v>36</v>
      </c>
      <c r="C3" s="69"/>
    </row>
    <row r="4" spans="2:4" ht="23.25" x14ac:dyDescent="0.5">
      <c r="B4" s="1" t="s">
        <v>2</v>
      </c>
      <c r="C4" s="1" t="s">
        <v>3</v>
      </c>
    </row>
    <row r="5" spans="2:4" ht="23.25" x14ac:dyDescent="0.5">
      <c r="B5" s="2" t="s">
        <v>4</v>
      </c>
      <c r="C5" s="44">
        <v>0</v>
      </c>
    </row>
    <row r="6" spans="2:4" ht="23.25" x14ac:dyDescent="0.5">
      <c r="B6" s="2" t="s">
        <v>12</v>
      </c>
      <c r="C6" s="44">
        <f>-G13</f>
        <v>0</v>
      </c>
    </row>
    <row r="7" spans="2:4" ht="23.25" x14ac:dyDescent="0.5">
      <c r="B7" s="2" t="s">
        <v>5</v>
      </c>
      <c r="C7" s="46">
        <v>262.89</v>
      </c>
    </row>
    <row r="8" spans="2:4" ht="23.25" x14ac:dyDescent="0.5">
      <c r="B8" s="49" t="s">
        <v>17</v>
      </c>
      <c r="C8" s="46">
        <v>11.82</v>
      </c>
    </row>
    <row r="9" spans="2:4" ht="23.25" x14ac:dyDescent="0.5">
      <c r="B9" s="2" t="s">
        <v>5</v>
      </c>
      <c r="C9" s="45">
        <v>4437.57</v>
      </c>
    </row>
    <row r="10" spans="2:4" ht="23.25" x14ac:dyDescent="0.5">
      <c r="B10" s="2" t="s">
        <v>6</v>
      </c>
      <c r="C10" s="45">
        <v>3103</v>
      </c>
    </row>
    <row r="11" spans="2:4" ht="23.25" x14ac:dyDescent="0.5">
      <c r="B11" s="2" t="s">
        <v>7</v>
      </c>
      <c r="C11" s="44">
        <v>111044</v>
      </c>
    </row>
    <row r="12" spans="2:4" ht="23.25" x14ac:dyDescent="0.5">
      <c r="B12" s="2" t="s">
        <v>15</v>
      </c>
      <c r="C12" s="3"/>
      <c r="D12" t="s">
        <v>33</v>
      </c>
    </row>
    <row r="13" spans="2:4" ht="23.25" x14ac:dyDescent="0.5">
      <c r="B13" s="8" t="s">
        <v>8</v>
      </c>
      <c r="C13" s="9">
        <f>SUM(C5:C11)</f>
        <v>118859.28</v>
      </c>
    </row>
    <row r="17" spans="2:3" x14ac:dyDescent="0.2">
      <c r="B17" s="47" t="s">
        <v>34</v>
      </c>
      <c r="C17" s="48">
        <f>SUM(C5:C10)</f>
        <v>7815.28</v>
      </c>
    </row>
    <row r="18" spans="2:3" x14ac:dyDescent="0.2">
      <c r="B18" s="47" t="s">
        <v>35</v>
      </c>
      <c r="C18" s="48">
        <f>SUM(C11)</f>
        <v>111044</v>
      </c>
    </row>
    <row r="19" spans="2:3" x14ac:dyDescent="0.2">
      <c r="B19" s="47" t="s">
        <v>15</v>
      </c>
      <c r="C19" s="48">
        <f>SUM(C12)</f>
        <v>0</v>
      </c>
    </row>
  </sheetData>
  <mergeCells count="3">
    <mergeCell ref="B1:C1"/>
    <mergeCell ref="B2:C2"/>
    <mergeCell ref="B3:C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D306-6EE9-426B-9636-D499A884066D}">
  <dimension ref="B1:D13"/>
  <sheetViews>
    <sheetView workbookViewId="0">
      <selection activeCell="H3" sqref="H3"/>
    </sheetView>
  </sheetViews>
  <sheetFormatPr defaultRowHeight="14.25" x14ac:dyDescent="0.2"/>
  <cols>
    <col min="2" max="2" width="21.125" customWidth="1"/>
    <col min="3" max="3" width="19.375" customWidth="1"/>
  </cols>
  <sheetData>
    <row r="1" spans="2:4" ht="15" thickBot="1" x14ac:dyDescent="0.25"/>
    <row r="2" spans="2:4" ht="26.25" x14ac:dyDescent="0.55000000000000004">
      <c r="B2" s="71" t="s">
        <v>0</v>
      </c>
      <c r="C2" s="72"/>
    </row>
    <row r="3" spans="2:4" ht="26.25" x14ac:dyDescent="0.55000000000000004">
      <c r="B3" s="73" t="s">
        <v>1</v>
      </c>
      <c r="C3" s="74"/>
    </row>
    <row r="4" spans="2:4" ht="26.25" x14ac:dyDescent="0.55000000000000004">
      <c r="B4" s="75" t="s">
        <v>31</v>
      </c>
      <c r="C4" s="74"/>
    </row>
    <row r="5" spans="2:4" ht="23.25" x14ac:dyDescent="0.5">
      <c r="B5" s="29" t="s">
        <v>2</v>
      </c>
      <c r="C5" s="30" t="s">
        <v>3</v>
      </c>
    </row>
    <row r="6" spans="2:4" ht="23.25" x14ac:dyDescent="0.5">
      <c r="B6" s="31" t="s">
        <v>25</v>
      </c>
      <c r="C6" s="32">
        <v>50269.73</v>
      </c>
      <c r="D6" s="7"/>
    </row>
    <row r="7" spans="2:4" ht="23.25" x14ac:dyDescent="0.5">
      <c r="B7" s="42" t="s">
        <v>21</v>
      </c>
      <c r="C7" s="43">
        <v>2535.23</v>
      </c>
      <c r="D7" s="7"/>
    </row>
    <row r="8" spans="2:4" ht="23.25" x14ac:dyDescent="0.5">
      <c r="B8" s="42" t="s">
        <v>22</v>
      </c>
      <c r="C8" s="43">
        <v>754.05</v>
      </c>
      <c r="D8" s="7"/>
    </row>
    <row r="9" spans="2:4" ht="24" thickBot="1" x14ac:dyDescent="0.55000000000000004">
      <c r="B9" s="35" t="s">
        <v>8</v>
      </c>
      <c r="C9" s="36">
        <f>SUM(C6:C8)</f>
        <v>53559.010000000009</v>
      </c>
    </row>
    <row r="11" spans="2:4" ht="23.25" x14ac:dyDescent="0.5">
      <c r="B11" s="14" t="s">
        <v>32</v>
      </c>
      <c r="C11" s="15"/>
      <c r="D11" s="10"/>
    </row>
    <row r="12" spans="2:4" ht="23.25" x14ac:dyDescent="0.5">
      <c r="B12" s="11"/>
      <c r="C12" s="12"/>
      <c r="D12" s="7"/>
    </row>
    <row r="13" spans="2:4" ht="23.25" x14ac:dyDescent="0.5">
      <c r="B13" s="13"/>
      <c r="C13" s="12"/>
      <c r="D13" s="7"/>
    </row>
  </sheetData>
  <mergeCells count="3">
    <mergeCell ref="B2:C2"/>
    <mergeCell ref="B3:C3"/>
    <mergeCell ref="B4:C4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9E9A-9DBF-42D1-B3D2-CB37285BD56C}">
  <dimension ref="B2:C18"/>
  <sheetViews>
    <sheetView workbookViewId="0">
      <selection activeCell="B2" sqref="B2:C12"/>
    </sheetView>
  </sheetViews>
  <sheetFormatPr defaultRowHeight="14.25" x14ac:dyDescent="0.2"/>
  <cols>
    <col min="2" max="2" width="19.625" customWidth="1"/>
    <col min="3" max="3" width="18.75" bestFit="1" customWidth="1"/>
  </cols>
  <sheetData>
    <row r="2" spans="2:3" ht="26.25" x14ac:dyDescent="0.55000000000000004">
      <c r="B2" s="69" t="s">
        <v>0</v>
      </c>
      <c r="C2" s="69"/>
    </row>
    <row r="3" spans="2:3" ht="26.25" x14ac:dyDescent="0.55000000000000004">
      <c r="B3" s="70" t="s">
        <v>1</v>
      </c>
      <c r="C3" s="69"/>
    </row>
    <row r="4" spans="2:3" ht="26.25" x14ac:dyDescent="0.55000000000000004">
      <c r="B4" s="69" t="s">
        <v>37</v>
      </c>
      <c r="C4" s="69"/>
    </row>
    <row r="5" spans="2:3" ht="23.25" x14ac:dyDescent="0.5">
      <c r="B5" s="1" t="s">
        <v>2</v>
      </c>
      <c r="C5" s="1" t="s">
        <v>3</v>
      </c>
    </row>
    <row r="6" spans="2:3" ht="23.25" x14ac:dyDescent="0.5">
      <c r="B6" s="2" t="s">
        <v>4</v>
      </c>
      <c r="C6" s="56" t="s">
        <v>38</v>
      </c>
    </row>
    <row r="7" spans="2:3" ht="23.25" x14ac:dyDescent="0.5">
      <c r="B7" s="2" t="s">
        <v>12</v>
      </c>
      <c r="C7" s="56" t="s">
        <v>38</v>
      </c>
    </row>
    <row r="8" spans="2:3" ht="23.25" x14ac:dyDescent="0.5">
      <c r="B8" s="2" t="s">
        <v>5</v>
      </c>
      <c r="C8" s="51">
        <v>7442.83</v>
      </c>
    </row>
    <row r="9" spans="2:3" ht="23.25" x14ac:dyDescent="0.5">
      <c r="B9" s="2" t="s">
        <v>6</v>
      </c>
      <c r="C9" s="51">
        <v>484</v>
      </c>
    </row>
    <row r="10" spans="2:3" ht="23.25" x14ac:dyDescent="0.5">
      <c r="B10" s="2" t="s">
        <v>7</v>
      </c>
      <c r="C10" s="50">
        <v>120764</v>
      </c>
    </row>
    <row r="11" spans="2:3" ht="23.25" x14ac:dyDescent="0.5">
      <c r="B11" s="2" t="s">
        <v>15</v>
      </c>
      <c r="C11" s="55" t="s">
        <v>33</v>
      </c>
    </row>
    <row r="12" spans="2:3" ht="23.25" x14ac:dyDescent="0.5">
      <c r="B12" s="8" t="s">
        <v>8</v>
      </c>
      <c r="C12" s="53">
        <f>SUM(C6:C10)</f>
        <v>128690.83</v>
      </c>
    </row>
    <row r="16" spans="2:3" ht="23.25" x14ac:dyDescent="0.5">
      <c r="B16" s="52" t="s">
        <v>34</v>
      </c>
      <c r="C16" s="54">
        <f>SUM(C6:C9)</f>
        <v>7926.83</v>
      </c>
    </row>
    <row r="17" spans="2:3" ht="23.25" x14ac:dyDescent="0.5">
      <c r="B17" s="52" t="s">
        <v>35</v>
      </c>
      <c r="C17" s="54">
        <f>SUM(C10)</f>
        <v>120764</v>
      </c>
    </row>
    <row r="18" spans="2:3" ht="23.25" x14ac:dyDescent="0.5">
      <c r="B18" s="52" t="s">
        <v>15</v>
      </c>
      <c r="C18" s="54">
        <f>SUM(C11)</f>
        <v>0</v>
      </c>
    </row>
  </sheetData>
  <mergeCells count="3">
    <mergeCell ref="B2:C2"/>
    <mergeCell ref="B3:C3"/>
    <mergeCell ref="B4:C4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CEB6-E60C-4C0E-A135-0E3B925F155E}">
  <dimension ref="B1:C18"/>
  <sheetViews>
    <sheetView workbookViewId="0">
      <selection activeCell="D12" sqref="D12"/>
    </sheetView>
  </sheetViews>
  <sheetFormatPr defaultColWidth="9" defaultRowHeight="23.25" x14ac:dyDescent="0.5"/>
  <cols>
    <col min="1" max="1" width="9" style="62"/>
    <col min="2" max="2" width="18.625" style="62" customWidth="1"/>
    <col min="3" max="3" width="18.75" style="62" bestFit="1" customWidth="1"/>
    <col min="4" max="16384" width="9" style="62"/>
  </cols>
  <sheetData>
    <row r="1" spans="2:3" x14ac:dyDescent="0.5">
      <c r="B1" s="76" t="s">
        <v>0</v>
      </c>
      <c r="C1" s="76"/>
    </row>
    <row r="2" spans="2:3" x14ac:dyDescent="0.5">
      <c r="B2" s="77" t="s">
        <v>1</v>
      </c>
      <c r="C2" s="76"/>
    </row>
    <row r="3" spans="2:3" x14ac:dyDescent="0.5">
      <c r="B3" s="76" t="s">
        <v>39</v>
      </c>
      <c r="C3" s="76"/>
    </row>
    <row r="4" spans="2:3" x14ac:dyDescent="0.5">
      <c r="B4" s="57" t="s">
        <v>2</v>
      </c>
      <c r="C4" s="57" t="s">
        <v>3</v>
      </c>
    </row>
    <row r="5" spans="2:3" x14ac:dyDescent="0.5">
      <c r="B5" s="58" t="s">
        <v>4</v>
      </c>
      <c r="C5" s="63" t="s">
        <v>38</v>
      </c>
    </row>
    <row r="6" spans="2:3" x14ac:dyDescent="0.5">
      <c r="B6" s="58" t="s">
        <v>12</v>
      </c>
      <c r="C6" s="63" t="s">
        <v>38</v>
      </c>
    </row>
    <row r="7" spans="2:3" x14ac:dyDescent="0.5">
      <c r="B7" s="58" t="s">
        <v>5</v>
      </c>
      <c r="C7" s="59">
        <v>7712.49</v>
      </c>
    </row>
    <row r="8" spans="2:3" x14ac:dyDescent="0.5">
      <c r="B8" s="58" t="s">
        <v>6</v>
      </c>
      <c r="C8" s="59">
        <v>2533</v>
      </c>
    </row>
    <row r="9" spans="2:3" x14ac:dyDescent="0.5">
      <c r="B9" s="58" t="s">
        <v>40</v>
      </c>
      <c r="C9" s="59">
        <v>2621.4</v>
      </c>
    </row>
    <row r="10" spans="2:3" x14ac:dyDescent="0.5">
      <c r="B10" s="58" t="s">
        <v>7</v>
      </c>
      <c r="C10" s="60">
        <v>126136</v>
      </c>
    </row>
    <row r="11" spans="2:3" x14ac:dyDescent="0.5">
      <c r="B11" s="58" t="s">
        <v>15</v>
      </c>
      <c r="C11" s="64" t="s">
        <v>33</v>
      </c>
    </row>
    <row r="12" spans="2:3" x14ac:dyDescent="0.5">
      <c r="B12" s="61" t="s">
        <v>8</v>
      </c>
      <c r="C12" s="66">
        <f>SUM(C5:C10)</f>
        <v>139002.89000000001</v>
      </c>
    </row>
    <row r="16" spans="2:3" x14ac:dyDescent="0.5">
      <c r="B16" s="65" t="s">
        <v>41</v>
      </c>
      <c r="C16" s="67">
        <f>SUM(C5:C9)</f>
        <v>12866.89</v>
      </c>
    </row>
    <row r="17" spans="2:3" x14ac:dyDescent="0.5">
      <c r="B17" s="65" t="s">
        <v>35</v>
      </c>
      <c r="C17" s="67">
        <f>C10</f>
        <v>126136</v>
      </c>
    </row>
    <row r="18" spans="2:3" x14ac:dyDescent="0.5">
      <c r="B18" s="65" t="s">
        <v>42</v>
      </c>
      <c r="C18" s="68" t="str">
        <f>C11</f>
        <v>อยู่ระหว่างดำเนินการ</v>
      </c>
    </row>
  </sheetData>
  <mergeCells count="3">
    <mergeCell ref="B1:C1"/>
    <mergeCell ref="B2:C2"/>
    <mergeCell ref="B3:C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0790-FF9E-4CBB-8B30-F94DB2520441}">
  <dimension ref="B1:D11"/>
  <sheetViews>
    <sheetView workbookViewId="0">
      <selection activeCell="C7" sqref="C7"/>
    </sheetView>
  </sheetViews>
  <sheetFormatPr defaultRowHeight="14.25" x14ac:dyDescent="0.2"/>
  <cols>
    <col min="2" max="2" width="21.125" customWidth="1"/>
    <col min="3" max="3" width="19.375" customWidth="1"/>
  </cols>
  <sheetData>
    <row r="1" spans="2:4" ht="15" thickBot="1" x14ac:dyDescent="0.25"/>
    <row r="2" spans="2:4" ht="26.25" x14ac:dyDescent="0.55000000000000004">
      <c r="B2" s="71" t="s">
        <v>0</v>
      </c>
      <c r="C2" s="72"/>
    </row>
    <row r="3" spans="2:4" ht="26.25" x14ac:dyDescent="0.55000000000000004">
      <c r="B3" s="73" t="s">
        <v>1</v>
      </c>
      <c r="C3" s="74"/>
    </row>
    <row r="4" spans="2:4" ht="26.25" x14ac:dyDescent="0.55000000000000004">
      <c r="B4" s="75" t="s">
        <v>37</v>
      </c>
      <c r="C4" s="74"/>
    </row>
    <row r="5" spans="2:4" ht="23.25" x14ac:dyDescent="0.5">
      <c r="B5" s="29" t="s">
        <v>2</v>
      </c>
      <c r="C5" s="30" t="s">
        <v>3</v>
      </c>
    </row>
    <row r="6" spans="2:4" ht="23.25" x14ac:dyDescent="0.5">
      <c r="B6" s="31" t="s">
        <v>25</v>
      </c>
      <c r="C6" s="32">
        <v>30976.16</v>
      </c>
      <c r="D6" s="7"/>
    </row>
    <row r="7" spans="2:4" ht="24" thickBot="1" x14ac:dyDescent="0.55000000000000004">
      <c r="B7" s="35" t="s">
        <v>8</v>
      </c>
      <c r="C7" s="36">
        <f>SUM(C6:C6)</f>
        <v>30976.16</v>
      </c>
    </row>
    <row r="9" spans="2:4" ht="23.25" x14ac:dyDescent="0.5">
      <c r="B9" s="14"/>
      <c r="C9" s="15"/>
      <c r="D9" s="10"/>
    </row>
    <row r="10" spans="2:4" ht="23.25" x14ac:dyDescent="0.5">
      <c r="B10" s="11"/>
      <c r="C10" s="12"/>
      <c r="D10" s="7"/>
    </row>
    <row r="11" spans="2:4" ht="23.25" x14ac:dyDescent="0.5">
      <c r="B11" s="13"/>
      <c r="C11" s="12"/>
      <c r="D11" s="7"/>
    </row>
  </sheetData>
  <mergeCells count="3">
    <mergeCell ref="B2:C2"/>
    <mergeCell ref="B3:C3"/>
    <mergeCell ref="B4:C4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10F1-53F1-493D-A797-9E8BA4784F0D}">
  <dimension ref="B1:D7"/>
  <sheetViews>
    <sheetView workbookViewId="0">
      <selection activeCell="E6" sqref="E6"/>
    </sheetView>
  </sheetViews>
  <sheetFormatPr defaultRowHeight="14.25" x14ac:dyDescent="0.2"/>
  <cols>
    <col min="2" max="2" width="21.125" customWidth="1"/>
    <col min="3" max="3" width="19.375" customWidth="1"/>
  </cols>
  <sheetData>
    <row r="1" spans="2:4" ht="15" thickBot="1" x14ac:dyDescent="0.25"/>
    <row r="2" spans="2:4" ht="26.25" x14ac:dyDescent="0.55000000000000004">
      <c r="B2" s="71" t="s">
        <v>0</v>
      </c>
      <c r="C2" s="72"/>
    </row>
    <row r="3" spans="2:4" ht="26.25" x14ac:dyDescent="0.55000000000000004">
      <c r="B3" s="73" t="s">
        <v>1</v>
      </c>
      <c r="C3" s="74"/>
    </row>
    <row r="4" spans="2:4" ht="26.25" x14ac:dyDescent="0.55000000000000004">
      <c r="B4" s="75" t="s">
        <v>39</v>
      </c>
      <c r="C4" s="74"/>
    </row>
    <row r="5" spans="2:4" ht="23.25" x14ac:dyDescent="0.5">
      <c r="B5" s="29" t="s">
        <v>2</v>
      </c>
      <c r="C5" s="30" t="s">
        <v>3</v>
      </c>
    </row>
    <row r="6" spans="2:4" ht="23.25" x14ac:dyDescent="0.5">
      <c r="B6" s="31" t="s">
        <v>25</v>
      </c>
      <c r="C6" s="32">
        <v>25664.6</v>
      </c>
      <c r="D6" s="7"/>
    </row>
    <row r="7" spans="2:4" ht="24" thickBot="1" x14ac:dyDescent="0.55000000000000004">
      <c r="B7" s="35" t="s">
        <v>8</v>
      </c>
      <c r="C7" s="36">
        <f>SUM(C6:C6)</f>
        <v>25664.6</v>
      </c>
    </row>
  </sheetData>
  <mergeCells count="3">
    <mergeCell ref="B2:C2"/>
    <mergeCell ref="B3:C3"/>
    <mergeCell ref="B4:C4"/>
  </mergeCell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B15F-B8D3-4B4C-836A-547806020362}">
  <sheetPr>
    <pageSetUpPr fitToPage="1"/>
  </sheetPr>
  <dimension ref="B1:C18"/>
  <sheetViews>
    <sheetView topLeftCell="A7" workbookViewId="0">
      <selection activeCell="E7" sqref="E7"/>
    </sheetView>
  </sheetViews>
  <sheetFormatPr defaultColWidth="9" defaultRowHeight="23.25" x14ac:dyDescent="0.5"/>
  <cols>
    <col min="1" max="1" width="9" style="62"/>
    <col min="2" max="2" width="18.625" style="62" customWidth="1"/>
    <col min="3" max="3" width="18.75" style="62" bestFit="1" customWidth="1"/>
    <col min="4" max="16384" width="9" style="62"/>
  </cols>
  <sheetData>
    <row r="1" spans="2:3" x14ac:dyDescent="0.5">
      <c r="B1" s="76" t="s">
        <v>0</v>
      </c>
      <c r="C1" s="76"/>
    </row>
    <row r="2" spans="2:3" x14ac:dyDescent="0.5">
      <c r="B2" s="77" t="s">
        <v>1</v>
      </c>
      <c r="C2" s="76"/>
    </row>
    <row r="3" spans="2:3" x14ac:dyDescent="0.5">
      <c r="B3" s="76" t="s">
        <v>43</v>
      </c>
      <c r="C3" s="76"/>
    </row>
    <row r="4" spans="2:3" x14ac:dyDescent="0.5">
      <c r="B4" s="57" t="s">
        <v>2</v>
      </c>
      <c r="C4" s="57" t="s">
        <v>3</v>
      </c>
    </row>
    <row r="5" spans="2:3" x14ac:dyDescent="0.5">
      <c r="B5" s="58" t="s">
        <v>4</v>
      </c>
      <c r="C5" s="63" t="s">
        <v>38</v>
      </c>
    </row>
    <row r="6" spans="2:3" x14ac:dyDescent="0.5">
      <c r="B6" s="58" t="s">
        <v>12</v>
      </c>
      <c r="C6" s="63" t="s">
        <v>38</v>
      </c>
    </row>
    <row r="7" spans="2:3" x14ac:dyDescent="0.5">
      <c r="B7" s="58" t="s">
        <v>44</v>
      </c>
      <c r="C7" s="63" t="s">
        <v>38</v>
      </c>
    </row>
    <row r="8" spans="2:3" x14ac:dyDescent="0.5">
      <c r="B8" s="58" t="s">
        <v>5</v>
      </c>
      <c r="C8" s="59">
        <v>7262.9</v>
      </c>
    </row>
    <row r="9" spans="2:3" x14ac:dyDescent="0.5">
      <c r="B9" s="58" t="s">
        <v>6</v>
      </c>
      <c r="C9" s="59">
        <v>1127.2</v>
      </c>
    </row>
    <row r="10" spans="2:3" x14ac:dyDescent="0.5">
      <c r="B10" s="58" t="s">
        <v>7</v>
      </c>
      <c r="C10" s="60">
        <v>130404</v>
      </c>
    </row>
    <row r="11" spans="2:3" x14ac:dyDescent="0.5">
      <c r="B11" s="58" t="s">
        <v>15</v>
      </c>
      <c r="C11" s="64" t="s">
        <v>33</v>
      </c>
    </row>
    <row r="12" spans="2:3" x14ac:dyDescent="0.5">
      <c r="B12" s="61" t="s">
        <v>8</v>
      </c>
      <c r="C12" s="66">
        <f>SUM(C5:C10)</f>
        <v>138794.1</v>
      </c>
    </row>
    <row r="16" spans="2:3" x14ac:dyDescent="0.5">
      <c r="B16" s="65" t="s">
        <v>41</v>
      </c>
      <c r="C16" s="67">
        <f>SUM(C5:C9)</f>
        <v>8390.1</v>
      </c>
    </row>
    <row r="17" spans="2:3" x14ac:dyDescent="0.5">
      <c r="B17" s="65" t="s">
        <v>35</v>
      </c>
      <c r="C17" s="67">
        <f>C10</f>
        <v>130404</v>
      </c>
    </row>
    <row r="18" spans="2:3" x14ac:dyDescent="0.5">
      <c r="B18" s="65" t="s">
        <v>42</v>
      </c>
      <c r="C18" s="68" t="str">
        <f>C11</f>
        <v>อยู่ระหว่างดำเนินการ</v>
      </c>
    </row>
  </sheetData>
  <mergeCells count="3">
    <mergeCell ref="B1:C1"/>
    <mergeCell ref="B2:C2"/>
    <mergeCell ref="B3:C3"/>
  </mergeCells>
  <pageMargins left="0.7" right="0.7" top="0.75" bottom="0.75" header="0.3" footer="0.3"/>
  <pageSetup paperSize="9" fitToWidth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E053-04FA-41CA-B7D8-F9973B11DB4A}">
  <dimension ref="B1:D7"/>
  <sheetViews>
    <sheetView workbookViewId="0">
      <selection activeCell="E6" sqref="E6"/>
    </sheetView>
  </sheetViews>
  <sheetFormatPr defaultRowHeight="14.25" x14ac:dyDescent="0.2"/>
  <cols>
    <col min="2" max="2" width="21.125" customWidth="1"/>
    <col min="3" max="3" width="19.375" customWidth="1"/>
  </cols>
  <sheetData>
    <row r="1" spans="2:4" ht="15" thickBot="1" x14ac:dyDescent="0.25"/>
    <row r="2" spans="2:4" ht="26.25" x14ac:dyDescent="0.55000000000000004">
      <c r="B2" s="71" t="s">
        <v>0</v>
      </c>
      <c r="C2" s="72"/>
    </row>
    <row r="3" spans="2:4" ht="26.25" x14ac:dyDescent="0.55000000000000004">
      <c r="B3" s="73" t="s">
        <v>1</v>
      </c>
      <c r="C3" s="74"/>
    </row>
    <row r="4" spans="2:4" ht="26.25" x14ac:dyDescent="0.55000000000000004">
      <c r="B4" s="75" t="s">
        <v>43</v>
      </c>
      <c r="C4" s="74"/>
    </row>
    <row r="5" spans="2:4" ht="23.25" x14ac:dyDescent="0.5">
      <c r="B5" s="29" t="s">
        <v>2</v>
      </c>
      <c r="C5" s="30" t="s">
        <v>3</v>
      </c>
    </row>
    <row r="6" spans="2:4" ht="23.25" x14ac:dyDescent="0.5">
      <c r="B6" s="31" t="s">
        <v>45</v>
      </c>
      <c r="C6" s="32">
        <v>25893.33</v>
      </c>
      <c r="D6" s="7"/>
    </row>
    <row r="7" spans="2:4" ht="24" thickBot="1" x14ac:dyDescent="0.55000000000000004">
      <c r="B7" s="35" t="s">
        <v>8</v>
      </c>
      <c r="C7" s="36">
        <f>SUM(C6:C6)</f>
        <v>25893.33</v>
      </c>
    </row>
  </sheetData>
  <mergeCells count="3">
    <mergeCell ref="B2:C2"/>
    <mergeCell ref="B3:C3"/>
    <mergeCell ref="B4:C4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0F65-1BF7-4B86-AD4F-4829D8E3FD14}">
  <sheetPr>
    <pageSetUpPr fitToPage="1"/>
  </sheetPr>
  <dimension ref="B1:C10"/>
  <sheetViews>
    <sheetView tabSelected="1" workbookViewId="0">
      <selection activeCell="N12" sqref="N12"/>
    </sheetView>
  </sheetViews>
  <sheetFormatPr defaultColWidth="9" defaultRowHeight="23.25" x14ac:dyDescent="0.5"/>
  <cols>
    <col min="1" max="1" width="9" style="62"/>
    <col min="2" max="2" width="18.625" style="62" customWidth="1"/>
    <col min="3" max="3" width="18.75" style="62" bestFit="1" customWidth="1"/>
    <col min="4" max="16384" width="9" style="62"/>
  </cols>
  <sheetData>
    <row r="1" spans="2:3" x14ac:dyDescent="0.5">
      <c r="B1" s="76" t="s">
        <v>46</v>
      </c>
      <c r="C1" s="76"/>
    </row>
    <row r="2" spans="2:3" x14ac:dyDescent="0.5">
      <c r="B2" s="77" t="s">
        <v>47</v>
      </c>
      <c r="C2" s="76"/>
    </row>
    <row r="3" spans="2:3" x14ac:dyDescent="0.5">
      <c r="B3" s="76" t="s">
        <v>48</v>
      </c>
      <c r="C3" s="76"/>
    </row>
    <row r="4" spans="2:3" x14ac:dyDescent="0.5">
      <c r="B4" s="57" t="s">
        <v>2</v>
      </c>
      <c r="C4" s="57" t="s">
        <v>3</v>
      </c>
    </row>
    <row r="5" spans="2:3" x14ac:dyDescent="0.5">
      <c r="B5" s="58" t="s">
        <v>4</v>
      </c>
      <c r="C5" s="63" t="s">
        <v>49</v>
      </c>
    </row>
    <row r="6" spans="2:3" x14ac:dyDescent="0.5">
      <c r="B6" s="58" t="s">
        <v>5</v>
      </c>
      <c r="C6" s="63" t="s">
        <v>49</v>
      </c>
    </row>
    <row r="7" spans="2:3" x14ac:dyDescent="0.5">
      <c r="B7" s="58" t="s">
        <v>6</v>
      </c>
      <c r="C7" s="63" t="s">
        <v>49</v>
      </c>
    </row>
    <row r="8" spans="2:3" x14ac:dyDescent="0.5">
      <c r="B8" s="58" t="s">
        <v>35</v>
      </c>
      <c r="C8" s="63" t="s">
        <v>49</v>
      </c>
    </row>
    <row r="9" spans="2:3" x14ac:dyDescent="0.5">
      <c r="B9" s="58" t="s">
        <v>50</v>
      </c>
      <c r="C9" s="63" t="s">
        <v>49</v>
      </c>
    </row>
    <row r="10" spans="2:3" x14ac:dyDescent="0.5">
      <c r="B10" s="61" t="s">
        <v>8</v>
      </c>
      <c r="C10" s="66">
        <f>SUM(C5:C8)</f>
        <v>0</v>
      </c>
    </row>
  </sheetData>
  <mergeCells count="3">
    <mergeCell ref="B1:C1"/>
    <mergeCell ref="B2:C2"/>
    <mergeCell ref="B3:C3"/>
  </mergeCells>
  <pageMargins left="0.7" right="0.7" top="0.75" bottom="0.75" header="0.3" footer="0.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1.68</vt:lpstr>
      <vt:lpstr>2.68</vt:lpstr>
      <vt:lpstr>3.68</vt:lpstr>
      <vt:lpstr>04.68</vt:lpstr>
      <vt:lpstr>04.68 (ภพ30)</vt:lpstr>
      <vt:lpstr>05.68</vt:lpstr>
      <vt:lpstr>06.68</vt:lpstr>
      <vt:lpstr>05.68 ภพ.30</vt:lpstr>
      <vt:lpstr>07.68</vt:lpstr>
      <vt:lpstr>08.68</vt:lpstr>
      <vt:lpstr>07.68 ภพ.30</vt:lpstr>
      <vt:lpstr>08.68 ภพ.30</vt:lpstr>
      <vt:lpstr>09.68</vt:lpstr>
      <vt:lpstr>09.68 ภพ.30 (2)</vt:lpstr>
      <vt:lpstr>10.68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กวินธิดา นิสุรง</dc:creator>
  <cp:lastModifiedBy>บะบิ้ว 5 มีอยู่จริง</cp:lastModifiedBy>
  <cp:lastPrinted>2025-10-24T07:21:15Z</cp:lastPrinted>
  <dcterms:created xsi:type="dcterms:W3CDTF">2025-02-17T12:52:24Z</dcterms:created>
  <dcterms:modified xsi:type="dcterms:W3CDTF">2025-11-20T17:08:26Z</dcterms:modified>
</cp:coreProperties>
</file>