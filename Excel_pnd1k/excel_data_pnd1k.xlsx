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becf00b5c44c692/เอกสาร/GitHub/Bot_Server/Excel_pnd1k/"/>
    </mc:Choice>
  </mc:AlternateContent>
  <xr:revisionPtr revIDLastSave="1388" documentId="6_{DC7EFBB4-F84A-4393-88C7-A29FB3FBFE45}" xr6:coauthVersionLast="47" xr6:coauthVersionMax="47" xr10:uidLastSave="{3AB26EC4-4814-44CE-ABFF-858F0A3FDDE7}"/>
  <bookViews>
    <workbookView xWindow="-120" yWindow="-120" windowWidth="29040" windowHeight="15720" tabRatio="631" firstSheet="1" activeTab="1" xr2:uid="{00000000-000D-0000-FFFF-FFFF00000000}"/>
  </bookViews>
  <sheets>
    <sheet name="Input" sheetId="5" state="hidden" r:id="rId1"/>
    <sheet name="WHT_From" sheetId="4" r:id="rId2"/>
  </sheets>
  <definedNames>
    <definedName name="Branch_No">#REF!</definedName>
    <definedName name="Day_Ref">#REF!</definedName>
    <definedName name="Doc_No">WHT_From!$BC$5</definedName>
    <definedName name="Inp_Clear1">Input!$D$12</definedName>
    <definedName name="Inp_Clear2">Input!$D$8:$H$9</definedName>
    <definedName name="Inp_Source">Input!$M$3:$AE$3</definedName>
    <definedName name="Inp_Target">OFFSET(WHT_Ref,COUNTA(WHT_Date)+1,0)</definedName>
    <definedName name="List_Day">#REF!</definedName>
    <definedName name="List_Doc_No">OFFSET(#REF!,MATCH(#REF!,WHT_Doc_No,0),0,#REF!,1)</definedName>
    <definedName name="List_Month">#REF!</definedName>
    <definedName name="List_PND">OFFSET(#REF!,1,0,COUNTA(#REF!)-1,1)</definedName>
    <definedName name="List_PND1">#REF!</definedName>
    <definedName name="List_PND2">#REF!</definedName>
    <definedName name="Name_Address">OFFSET(Name_Ref,1,2,Name_Total,1)</definedName>
    <definedName name="Name_Name">OFFSET(Name_Ref,1,0,Name_Total,1)</definedName>
    <definedName name="Name_Ref">#REF!</definedName>
    <definedName name="Name_Tax_ID">OFFSET(Name_Ref,1,1,Name_Total,1)</definedName>
    <definedName name="Name_Total">COUNTA(#REF!)-1</definedName>
    <definedName name="PND_All">OFFSET(PND_Ref,1,1,COUNTA(#REF!)-1,1)</definedName>
    <definedName name="PND_Ref">#REF!</definedName>
    <definedName name="_xlnm.Print_Area" localSheetId="1">WHT_From!$A$1:$BI$74</definedName>
    <definedName name="Select_Month">WHT_From!$BY$5</definedName>
    <definedName name="Select_Year">WHT_From!$BY$4</definedName>
    <definedName name="tax">#REF!</definedName>
    <definedName name="Tax_ID">#REF!</definedName>
    <definedName name="WHT_Amount1">OFFSET(WHT_Ref,1,9,WHT_Total,1)</definedName>
    <definedName name="WHT_Amount2">OFFSET(WHT_Ref,1,14,WHT_Total,1)</definedName>
    <definedName name="WHT_Date">OFFSET(WHT_Ref,1,0,WHT_Total,1)</definedName>
    <definedName name="WHT_Desc1">OFFSET(WHT_Ref,1,8,WHT_Total,1)</definedName>
    <definedName name="WHT_Desc2">OFFSET(WHT_Ref,1,13,WHT_Total,1)</definedName>
    <definedName name="WHT_Doc_No">OFFSET(WHT_Ref,1,5,WHT_Total,1)</definedName>
    <definedName name="WHT_Item_in_Att">OFFSET(WHT_Ref,1,6,WHT_Total,1)</definedName>
    <definedName name="WHT_Month">OFFSET(WHT_Ref,1,2,WHT_Total,1)</definedName>
    <definedName name="WHT_Name">OFFSET(WHT_Ref,1,7,WHT_Total,1)</definedName>
    <definedName name="WHT_Ref">#REF!</definedName>
    <definedName name="WHT_Tax_Type">OFFSET(WHT_Ref,1,3,WHT_Total,1)</definedName>
    <definedName name="WHT_Tax1">OFFSET(WHT_Ref,1,11,WHT_Total,1)</definedName>
    <definedName name="WHT_Tax2">OFFSET(WHT_Ref,1,16,WHT_Total,1)</definedName>
    <definedName name="WHT_TaxRate1">OFFSET(WHT_Ref,1,10,WHT_Total,1)</definedName>
    <definedName name="WHT_TaxRate2">OFFSET(WHT_Ref,1,15,WHT_Total,1)</definedName>
    <definedName name="WHT_Total">COUNTA(#REF!)-1</definedName>
    <definedName name="WHT_Year">OFFSET(WHT_Ref,1,1,WHT_Total,1)</definedName>
    <definedName name="Z_1A58FC97_1235_4D36_9314_B4B392336C5F_.wvu.Cols" localSheetId="1" hidden="1">WHT_From!$BL:$BR</definedName>
    <definedName name="Z_1A58FC97_1235_4D36_9314_B4B392336C5F_.wvu.PrintArea" localSheetId="1" hidden="1">WHT_From!$A$1:$BI$148</definedName>
    <definedName name="Z_DAA1B935_B3DA_4E8A_8ABC_337A4C514C4F_.wvu.Cols" localSheetId="1" hidden="1">WHT_From!$BL:$BR</definedName>
    <definedName name="Z_DAA1B935_B3DA_4E8A_8ABC_337A4C514C4F_.wvu.PrintArea" localSheetId="1" hidden="1">WHT_From!$A$1:$BI$148</definedName>
    <definedName name="ชื่อ">#REF!</definedName>
    <definedName name="ชื่อ1">#REF!</definedName>
    <definedName name="ที่อยู่">#REF!</definedName>
  </definedNames>
  <calcPr calcId="191029"/>
  <customWorkbookViews>
    <customWorkbookView name="Samroeng - Personal View" guid="{DAA1B935-B3DA-4E8A-8ABC-337A4C514C4F}" mergeInterval="0" personalView="1" maximized="1" windowWidth="1239" windowHeight="620" tabRatio="631" activeSheetId="3"/>
    <customWorkbookView name="Administrator - Personal View" guid="{1A58FC97-1235-4D36-9314-B4B392336C5F}" mergeInterval="0" personalView="1" maximized="1" windowWidth="1271" windowHeight="554" tabRatio="631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82" i="4" l="1"/>
  <c r="AG82" i="4"/>
  <c r="AI82" i="4"/>
  <c r="AK82" i="4"/>
  <c r="AM82" i="4"/>
  <c r="AP82" i="4"/>
  <c r="AR82" i="4"/>
  <c r="AT82" i="4"/>
  <c r="AV82" i="4"/>
  <c r="AX82" i="4"/>
  <c r="BA82" i="4"/>
  <c r="BC82" i="4"/>
  <c r="BF82" i="4"/>
  <c r="D84" i="4"/>
  <c r="D86" i="4"/>
  <c r="AK106" i="4"/>
  <c r="AS106" i="4"/>
  <c r="BA106" i="4"/>
  <c r="BC106" i="4"/>
  <c r="N47" i="4"/>
  <c r="N121" i="4" s="1"/>
  <c r="BC79" i="4"/>
  <c r="AK105" i="4"/>
  <c r="AS105" i="4"/>
  <c r="BA105" i="4"/>
  <c r="BC105" i="4"/>
  <c r="BE105" i="4"/>
  <c r="BG105" i="4"/>
  <c r="BE106" i="4"/>
  <c r="BG106" i="4"/>
  <c r="AK107" i="4"/>
  <c r="AS107" i="4"/>
  <c r="BA107" i="4"/>
  <c r="BC107" i="4"/>
  <c r="BE107" i="4"/>
  <c r="BG107" i="4"/>
  <c r="BA108" i="4"/>
  <c r="BC108" i="4"/>
  <c r="BE108" i="4"/>
  <c r="BG108" i="4"/>
  <c r="BA109" i="4"/>
  <c r="BC109" i="4"/>
  <c r="BE109" i="4"/>
  <c r="BG109" i="4"/>
  <c r="BA110" i="4"/>
  <c r="BC110" i="4"/>
  <c r="BE110" i="4"/>
  <c r="BG110" i="4"/>
  <c r="AK111" i="4"/>
  <c r="AS111" i="4"/>
  <c r="BA111" i="4"/>
  <c r="BC111" i="4"/>
  <c r="BE111" i="4"/>
  <c r="BG111" i="4"/>
  <c r="AK112" i="4"/>
  <c r="AS112" i="4"/>
  <c r="BA112" i="4"/>
  <c r="BC112" i="4"/>
  <c r="BE112" i="4"/>
  <c r="BG112" i="4"/>
  <c r="AK113" i="4"/>
  <c r="AS113" i="4"/>
  <c r="BA113" i="4"/>
  <c r="BC113" i="4"/>
  <c r="BE113" i="4"/>
  <c r="BG113" i="4"/>
  <c r="AK114" i="4"/>
  <c r="AS114" i="4"/>
  <c r="BA114" i="4"/>
  <c r="BC114" i="4"/>
  <c r="BE114" i="4"/>
  <c r="BG114" i="4"/>
  <c r="BA115" i="4"/>
  <c r="BC115" i="4"/>
  <c r="BE115" i="4"/>
  <c r="BG115" i="4"/>
  <c r="AK116" i="4"/>
  <c r="AS116" i="4"/>
  <c r="BA116" i="4"/>
  <c r="BC116" i="4"/>
  <c r="BE116" i="4"/>
  <c r="BG116" i="4"/>
  <c r="BA117" i="4"/>
  <c r="BC117" i="4"/>
  <c r="BE117" i="4"/>
  <c r="BG117" i="4"/>
  <c r="AK118" i="4"/>
  <c r="AS118" i="4"/>
  <c r="BA118" i="4"/>
  <c r="BC118" i="4"/>
  <c r="BE118" i="4"/>
  <c r="BG118" i="4"/>
  <c r="BA119" i="4"/>
  <c r="BC119" i="4"/>
  <c r="BE119" i="4"/>
  <c r="BG119" i="4"/>
  <c r="AK120" i="4"/>
  <c r="AS120" i="4"/>
  <c r="BA120" i="4"/>
  <c r="BC120" i="4"/>
  <c r="BE120" i="4"/>
  <c r="BG120" i="4"/>
  <c r="AK121" i="4"/>
  <c r="AS121" i="4"/>
  <c r="BA121" i="4"/>
  <c r="BC121" i="4"/>
  <c r="BE121" i="4"/>
  <c r="BG121" i="4"/>
  <c r="BA122" i="4"/>
  <c r="BC122" i="4"/>
  <c r="BE122" i="4"/>
  <c r="BG122" i="4"/>
  <c r="BA124" i="4"/>
  <c r="BC124" i="4"/>
  <c r="BE124" i="4"/>
  <c r="BG124" i="4"/>
  <c r="AS125" i="4"/>
  <c r="BA125" i="4"/>
  <c r="BC125" i="4"/>
  <c r="BE125" i="4"/>
  <c r="BG125" i="4"/>
  <c r="AK126" i="4"/>
  <c r="AS126" i="4"/>
  <c r="BA126" i="4"/>
  <c r="BC126" i="4"/>
  <c r="BE126" i="4"/>
  <c r="BG126" i="4"/>
  <c r="I2" i="5"/>
  <c r="R3" i="5" s="1"/>
  <c r="M3" i="5"/>
  <c r="N3" i="5"/>
  <c r="O3" i="5"/>
  <c r="P3" i="5"/>
  <c r="Q3" i="5"/>
  <c r="S3" i="5"/>
  <c r="T3" i="5"/>
  <c r="U3" i="5"/>
  <c r="V3" i="5"/>
  <c r="W3" i="5"/>
  <c r="Z3" i="5"/>
  <c r="AA3" i="5"/>
  <c r="AB3" i="5"/>
  <c r="AE3" i="5"/>
  <c r="I8" i="5"/>
  <c r="X3" i="5"/>
  <c r="I9" i="5"/>
  <c r="AC3" i="5"/>
  <c r="BA128" i="4" l="1"/>
  <c r="P130" i="4" s="1"/>
  <c r="D94" i="4" l="1"/>
  <c r="BR21" i="4"/>
  <c r="BN21" i="4"/>
  <c r="BL21" i="4"/>
  <c r="BO21" i="4"/>
  <c r="BL16" i="4" l="1"/>
  <c r="AR90" i="4" s="1"/>
  <c r="D92" i="4"/>
  <c r="AM132" i="4" s="1"/>
  <c r="BA104" i="4"/>
  <c r="AI141" i="4"/>
  <c r="AK104" i="4"/>
  <c r="AK90" i="4" l="1"/>
  <c r="AI90" i="4"/>
  <c r="AV90" i="4"/>
  <c r="AD90" i="4"/>
  <c r="BC90" i="4"/>
  <c r="AG90" i="4"/>
  <c r="AS104" i="4"/>
  <c r="AS128" i="4" s="1"/>
  <c r="AX90" i="4"/>
  <c r="AM90" i="4"/>
  <c r="AP90" i="4"/>
  <c r="AT90" i="4"/>
  <c r="BA90" i="4"/>
  <c r="BF90" i="4"/>
</calcChain>
</file>

<file path=xl/sharedStrings.xml><?xml version="1.0" encoding="utf-8"?>
<sst xmlns="http://schemas.openxmlformats.org/spreadsheetml/2006/main" count="241" uniqueCount="133">
  <si>
    <t>ชื่อ</t>
  </si>
  <si>
    <t>ที่อยู่</t>
  </si>
  <si>
    <t>เลขที่</t>
  </si>
  <si>
    <t>เลขประจำตัวผู้เสียภาษีอากร</t>
  </si>
  <si>
    <t>ในแนบ</t>
  </si>
  <si>
    <t>(1)</t>
  </si>
  <si>
    <t>(2)</t>
  </si>
  <si>
    <t>ภาษีที่หัก</t>
  </si>
  <si>
    <t>และนำส่งไว้</t>
  </si>
  <si>
    <t>จำนวนเงินที่จ่าย</t>
  </si>
  <si>
    <t>วัน เดือน ปี หรือ</t>
  </si>
  <si>
    <t>ปีภาษีที่จ่าย</t>
  </si>
  <si>
    <t>1.</t>
  </si>
  <si>
    <t>2.</t>
  </si>
  <si>
    <t>3.</t>
  </si>
  <si>
    <t>4.</t>
  </si>
  <si>
    <t>5.</t>
  </si>
  <si>
    <t>(ก)</t>
  </si>
  <si>
    <t>(ข)</t>
  </si>
  <si>
    <t>การจ่ายเงินได้ที่ต้องหักภาษี ณ ที่จ่ายตามคำสั่งกรมสรรพากรที่ออกตามมาตรา 3 เตรส</t>
  </si>
  <si>
    <t>รวมเงินที่จ่ายและภาษีที่หักนำส่ง</t>
  </si>
  <si>
    <t>ผู้จ่ายเงิน</t>
  </si>
  <si>
    <t>ขอรับรองว่าข้อความและตัวเลขดังกล่าวข้างต้นถูกต้องตรงกับความจริงทุกประการ</t>
  </si>
  <si>
    <t>หนังสือรับรองการหักภาษี ณ ที่จ่าย</t>
  </si>
  <si>
    <t>(ให้ระบุว่าเป็น บุคคล นิติบุคคล บริษัท สมาคม หรือคณะบุคคล)</t>
  </si>
  <si>
    <t>เงินเดือน ค่าจ้าง เบี้ยเลี้ยง โบนัส ฯลฯ ตามมาตรา 40(1)</t>
  </si>
  <si>
    <t>ค่าธรรมเนียม ค่านายหน้า ฯลฯ ตามมาตรา 40(2)</t>
  </si>
  <si>
    <t>ค่าแห่งลิขสิทธิ์ ฯลฯ ตามมาตรา 40(3)</t>
  </si>
  <si>
    <t>ค่าดอกเบี้ย ฯลฯ ตามมาตรา 40(4) (ก)</t>
  </si>
  <si>
    <t>ประเภทเงินได้พึ่งประเมินที่จ่าย</t>
  </si>
  <si>
    <t>(1.1) อัตรารัอยละ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</si>
  <si>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</si>
  <si>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</si>
  <si>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การแข่งขัน การชิงโชค ค่าแสดงของนักแสดงสาธารณะ ค่าจ้างทำของ ค่าโฆษณา ค่าเช่า</t>
  </si>
  <si>
    <t>หมายเหตุ *</t>
  </si>
  <si>
    <t>คำเตือน</t>
  </si>
  <si>
    <t xml:space="preserve">เช่น รางวัล ส่วนลดหรือประโยชน์ใดๆเนื่องจากการส่งเสริมการขาย รางวัลในการประกวด </t>
  </si>
  <si>
    <t>รวมเงินภาษีที่หักนำส่ง(ตัวอักษร)</t>
  </si>
  <si>
    <t>กรณีผู้ได้รับเงินปันผลได้รับเครดิตภาษี โดยจ่ายจาก</t>
  </si>
  <si>
    <t xml:space="preserve">เงินปันผล เงินส่วนแบ่งกำไร ฯลฯ ตามมาตรา 40(4) (ข) </t>
  </si>
  <si>
    <t>กำไรสุทธิของกิจการที่ต้องเสียภาษีเงินได้นิติบุคคลในอัตราดังนี้</t>
  </si>
  <si>
    <t>กรณีผู้ได้รับเงินปันผลไม่ได้รับเครดิตภาษี เนื่องจากจ่ายจาก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</si>
  <si>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</si>
  <si>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เงินปันผลหรือเงินส่วนแบ่งของกำไรที่ได้ยกเว้นไม่ต้องนำมารวม</t>
  </si>
  <si>
    <t xml:space="preserve">  คำนวณเป็นรายได้เพื่อเสียภาษีเงินได้นิติบุคคล </t>
  </si>
  <si>
    <t>(2.4) กำไรที่รับรู้ทางบัญชีโดยวิธีส่วนได้เสีย (equity method)</t>
  </si>
  <si>
    <t>(1) หัก ณ ที่จ่าย</t>
  </si>
  <si>
    <t>(2) ออกให้ตลอดไป</t>
  </si>
  <si>
    <t xml:space="preserve">(3) ออกให้ครั้งเดียว </t>
  </si>
  <si>
    <t>ผู้มีหน้าที่ออกหนังสือรับรองการหักภาษี</t>
  </si>
  <si>
    <t>ณ ที่จ่าย ฝ่าฝีนไม่ปฏิบัติตามมาตรา 50 ทวิ</t>
  </si>
  <si>
    <t>แห่งประมวลรัษฎากร ต้องรับโทษทางอาญา</t>
  </si>
  <si>
    <t>ตามมาตรา 35 หางประมวลรัษฎากร</t>
  </si>
  <si>
    <t>ลงชื่อ</t>
  </si>
  <si>
    <t>(วัน เดือน ปี ที่ออกหนังสือรับรองฯ)</t>
  </si>
  <si>
    <t>ค่าขนส่ง ค่าบริการ ค่าเบี้ยประกันวินาศภัย ฯลฯ</t>
  </si>
  <si>
    <t>เล่มที่</t>
  </si>
  <si>
    <t>ตามมาตรา 50 ทวิ แห่งประมวลรัษฎากร</t>
  </si>
  <si>
    <t>ผู้มีหน้าที่หักภาษี ณ ที่จ่าย :-</t>
  </si>
  <si>
    <t>เลขประจำตัวผู้เสียภาษีอากร (13 หลัก)*</t>
  </si>
  <si>
    <t>(ให้ระบุ ชื่ออาคาร/หมู่บ้าน ห้องเลขที่ ชั้นที่ เลขที่ ตรอก/ซอย หมู่ที่ ถนน ตำบล/แขวง อำเภอ/เขต จังหวัด)</t>
  </si>
  <si>
    <t>(ให้สามารถอ้างอิงหรือสอบยันกันได้ระหว่างลำดับที่ตาม</t>
  </si>
  <si>
    <t xml:space="preserve"> หนังสือรับรองฯ กับแบบยื่นรายการภาษีหัก ณ ที่จ่าย)</t>
  </si>
  <si>
    <t>ลำดับที่</t>
  </si>
  <si>
    <t>ผู้ถูกหักภาษี ณ ที่จ่าย :-</t>
  </si>
  <si>
    <t>(4) ภ.ง.ด.3</t>
  </si>
  <si>
    <t>(3) ภ.ง.ด.2</t>
  </si>
  <si>
    <t>(7) ภ.ง.ด.53</t>
  </si>
  <si>
    <t>(2) ภ.ง.ด.1ก.พิเศษ</t>
  </si>
  <si>
    <t>(6) ภ.ง.ด.3ก.</t>
  </si>
  <si>
    <t>(5) ภ.ง.ด.2ก.</t>
  </si>
  <si>
    <t>(1) ภ.ง.ด.1ก.</t>
  </si>
  <si>
    <t>เงินที่จ่ายเข้า</t>
  </si>
  <si>
    <t>กบข./กสจ./กองทุนสงเคราะห์ครูโรงเรียนเอกชน</t>
  </si>
  <si>
    <t>บาท</t>
  </si>
  <si>
    <t>กองทุนประกันสังคม</t>
  </si>
  <si>
    <t>กองทุนสำรองเลี้ยงชีพ</t>
  </si>
  <si>
    <t>เลขประจำตัวผู้เสียภาษีอากร (13 หลัก)* หมายถึง</t>
  </si>
  <si>
    <t>1, กรณีบุคคลธรรมดาไทย ให้ใช้เลขประจำตัวประชาชนของกรมการปกครอง</t>
  </si>
  <si>
    <t>2. กรณีนิติบุคคล ให้ใช้เลขทะเบียนนิติบุคคลของกรมพัฒนาธุรกิจการค้า</t>
  </si>
  <si>
    <t>3. กรณีอื่นๆ นอกเหนือจาก 1. และ 2. ให้ใช้เลขประจำตัวผู้เสียภาษีอากร (13 หลัก) ของกรมสรรพากร</t>
  </si>
  <si>
    <t>ฉบับที่ 4 (สำหรับผู้หักภาษี ณ ที่จ่าย ใช้แนบพร้อมกับแบบแสดงรายการภาษี)</t>
  </si>
  <si>
    <t>ฉบับที่ 3 (สำหรับผู้หักภาษี ณ ที่จ่าย ใช้แนบพร้อมกับแบบแสดงรายการภาษี)</t>
  </si>
  <si>
    <t>ฉบับที่ 1 (สำหรับผู้ถูกหักภาษี ณ ที่จ่าย ใช้แนบพร้อมกับแบบแสดงรายการภาษี)</t>
  </si>
  <si>
    <t>ฉบับที่ 2 (สำหรับผู้ถูกหักภาษี ณ ที่จ่าย เก็บไว้เป็นหลักฐาน)</t>
  </si>
  <si>
    <t>Month</t>
  </si>
  <si>
    <t>Name</t>
  </si>
  <si>
    <t>Amount2</t>
  </si>
  <si>
    <t>Year</t>
  </si>
  <si>
    <t>วันที่จ่าย</t>
  </si>
  <si>
    <t>ประเภท ภงด.</t>
  </si>
  <si>
    <t>เลขที่เอกสาร</t>
  </si>
  <si>
    <t>Amount1</t>
  </si>
  <si>
    <t>รายละเอียด1</t>
  </si>
  <si>
    <t>Description1</t>
  </si>
  <si>
    <t>Description2</t>
  </si>
  <si>
    <t>ลำดับที่ในแนบ</t>
  </si>
  <si>
    <t>:</t>
  </si>
  <si>
    <t>กุมภาพันธ์</t>
  </si>
  <si>
    <t>ธันวาคม</t>
  </si>
  <si>
    <t>Tax1</t>
  </si>
  <si>
    <t>% Tax1</t>
  </si>
  <si>
    <t>% Tax2</t>
  </si>
  <si>
    <t>Tax2</t>
  </si>
  <si>
    <t>รายละเอียด2 (ถ้ามี)</t>
  </si>
  <si>
    <t>ภงด.2 ย่อย</t>
  </si>
  <si>
    <t>เลขบัญชีธนาคาร</t>
  </si>
  <si>
    <t>ปี</t>
  </si>
  <si>
    <t>เดือน</t>
  </si>
  <si>
    <t>วันที่</t>
  </si>
  <si>
    <t>ปี-เดือน-วัน ที่จ่ายเงิน</t>
  </si>
  <si>
    <t>จ่ายให้กับ</t>
  </si>
  <si>
    <t>จำนวนเงิน</t>
  </si>
  <si>
    <t>อัตราภาษี</t>
  </si>
  <si>
    <t>ภาษีที่หักไว้</t>
  </si>
  <si>
    <t>รายละเอียดการจ่ายเงิน 1</t>
  </si>
  <si>
    <t>รายละเอียดการจ่ายเงิน 2</t>
  </si>
  <si>
    <t>ประเภทย่อย</t>
  </si>
  <si>
    <t>ประเภทเงินหัก ณ ที่จ่าย</t>
  </si>
  <si>
    <r>
      <t xml:space="preserve">กรณีบันทึก ภงด.2    </t>
    </r>
    <r>
      <rPr>
        <b/>
        <u/>
        <sz val="14"/>
        <color indexed="60"/>
        <rFont val="Cordia New"/>
        <family val="2"/>
      </rPr>
      <t>จ่ายดอกเบี้ยเงินฝาก</t>
    </r>
    <r>
      <rPr>
        <sz val="14"/>
        <rFont val="Cordia New"/>
        <family val="2"/>
      </rPr>
      <t xml:space="preserve">  ให้ใส่เลขบัญชีธนาคารด้วย  โดยกรอกเฉพาะตัวเลข  ไม่ต้องใส่  -</t>
    </r>
  </si>
  <si>
    <t xml:space="preserve">เลขที่เอกสาร </t>
  </si>
  <si>
    <t>(2.3) กำไรสุทธิส่วนที่ได้หักผลขาดทุนสุทธิยกมาไม่เกิน 5 ปี ก่อนรอบบัญชีปีปัจจุบัน</t>
  </si>
  <si>
    <r>
      <t xml:space="preserve">(1.4) อัตราอื่นๆ </t>
    </r>
    <r>
      <rPr>
        <i/>
        <sz val="11"/>
        <rFont val="Angsana New"/>
        <family val="1"/>
      </rPr>
      <t>(ระบุ)</t>
    </r>
    <r>
      <rPr>
        <sz val="11"/>
        <rFont val="Angsana New"/>
        <family val="1"/>
      </rPr>
      <t xml:space="preserve"> ……………………….ของกำไรสุทธิ</t>
    </r>
  </si>
  <si>
    <r>
      <t xml:space="preserve">(2.5) อื่นๆ </t>
    </r>
    <r>
      <rPr>
        <i/>
        <sz val="11"/>
        <rFont val="Angsana New"/>
        <family val="1"/>
      </rPr>
      <t>(ระบุ)</t>
    </r>
    <r>
      <rPr>
        <sz val="11"/>
        <rFont val="Angsana New"/>
        <family val="1"/>
      </rPr>
      <t xml:space="preserve"> </t>
    </r>
  </si>
  <si>
    <r>
      <t xml:space="preserve">ค่าขนส่ง </t>
    </r>
    <r>
      <rPr>
        <u/>
        <sz val="11"/>
        <rFont val="Angsana New"/>
        <family val="1"/>
      </rPr>
      <t>ค่าบริการ</t>
    </r>
    <r>
      <rPr>
        <sz val="11"/>
        <rFont val="Angsana New"/>
        <family val="1"/>
      </rPr>
      <t xml:space="preserve"> ค่าเบี้ยประกันวินาศภัย ฯลฯ</t>
    </r>
  </si>
  <si>
    <r>
      <t xml:space="preserve">อิ่น ๆ </t>
    </r>
    <r>
      <rPr>
        <i/>
        <sz val="11"/>
        <rFont val="Angsana New"/>
        <family val="1"/>
      </rPr>
      <t>(ระบุ)</t>
    </r>
  </si>
  <si>
    <r>
      <t xml:space="preserve">(4) อื่นๆ </t>
    </r>
    <r>
      <rPr>
        <i/>
        <sz val="12"/>
        <rFont val="Angsana New"/>
        <family val="1"/>
      </rPr>
      <t>(ระบุ)</t>
    </r>
  </si>
  <si>
    <t xml:space="preserve">อ </t>
  </si>
  <si>
    <t>31/12/2025</t>
  </si>
  <si>
    <t>บริษัท พรีเมี่ยม ซีเนียร์ แคร์ เซ็นเตอร์ จำกัด</t>
  </si>
  <si>
    <t>น.ส. อาริศสา แสงปัญญา</t>
  </si>
  <si>
    <t>93/207 หมู่ที่ 11 ต.บางนมโค อ.เสนา จ.พระนครศรีอยุธยา</t>
  </si>
  <si>
    <t>สองร้อยเก้าสิบบาทเจ็ดสิบหกสตางค์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</si>
</sst>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87" formatCode="d\ \ด\ด\ด\ด\ \_x0000_\_x0000_\_x0000_\_x0000_"/>
    <numFmt numFmtId="188" formatCode="0\-0000\-00000\-00\-0"/>
    <numFmt numFmtId="189" formatCode="[$-107041E]d\ mmmm\ yyyy;@"/>
    <numFmt numFmtId="190" formatCode="[$-107041E]d\ mmm\ yy;@"/>
    <numFmt numFmtId="191" formatCode="_-* #,##0_-;\-* #,##0_-;_-* &quot;-&quot;??_-;_-@_-"/>
    <numFmt numFmtId="192" formatCode="0%;;"/>
  </numFmts>
  <fonts count="32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sz val="14"/>
      <name val="Cordia New"/>
      <family val="2"/>
    </font>
    <font>
      <b/>
      <sz val="14"/>
      <name val="Cordia New"/>
      <family val="2"/>
    </font>
    <font>
      <sz val="8"/>
      <name val="Cordia New"/>
      <family val="2"/>
    </font>
    <font>
      <b/>
      <u/>
      <sz val="14"/>
      <color indexed="60"/>
      <name val="Cordia New"/>
      <family val="2"/>
    </font>
    <font>
      <sz val="20"/>
      <name val="Cordia New"/>
      <family val="2"/>
    </font>
    <font>
      <sz val="14"/>
      <name val="Cordia New"/>
      <family val="2"/>
    </font>
    <font>
      <sz val="10"/>
      <name val="Angsana New"/>
      <family val="1"/>
    </font>
    <font>
      <sz val="11"/>
      <name val="Angsana New"/>
      <family val="1"/>
    </font>
    <font>
      <sz val="13"/>
      <name val="Angsana New"/>
      <family val="1"/>
    </font>
    <font>
      <i/>
      <sz val="11"/>
      <name val="Angsana New"/>
      <family val="1"/>
    </font>
    <font>
      <b/>
      <sz val="14"/>
      <name val="Angsana New"/>
      <family val="1"/>
    </font>
    <font>
      <sz val="14"/>
      <name val="Angsana New"/>
      <family val="1"/>
    </font>
    <font>
      <sz val="12"/>
      <name val="Angsana New"/>
      <family val="1"/>
    </font>
    <font>
      <u/>
      <sz val="12"/>
      <name val="Angsana New"/>
      <family val="1"/>
    </font>
    <font>
      <i/>
      <sz val="10"/>
      <name val="Angsana New"/>
      <family val="1"/>
    </font>
    <font>
      <i/>
      <sz val="9"/>
      <name val="Angsana New"/>
      <family val="1"/>
    </font>
    <font>
      <sz val="9"/>
      <name val="Angsana New"/>
      <family val="1"/>
    </font>
    <font>
      <sz val="8"/>
      <name val="Angsana New"/>
      <family val="1"/>
    </font>
    <font>
      <u/>
      <sz val="11"/>
      <name val="Angsana New"/>
      <family val="1"/>
    </font>
    <font>
      <b/>
      <sz val="12"/>
      <name val="Angsana New"/>
      <family val="1"/>
    </font>
    <font>
      <b/>
      <sz val="11"/>
      <name val="Angsana New"/>
      <family val="1"/>
    </font>
    <font>
      <b/>
      <u/>
      <sz val="12"/>
      <name val="Angsana New"/>
      <family val="1"/>
    </font>
    <font>
      <i/>
      <sz val="12"/>
      <name val="Angsana New"/>
      <family val="1"/>
    </font>
    <font>
      <sz val="16"/>
      <name val="Angsana New"/>
      <family val="1"/>
    </font>
    <font>
      <b/>
      <sz val="12"/>
      <name val="Calibri"/>
      <family val="2"/>
    </font>
    <font>
      <sz val="12"/>
      <name val="Calibri"/>
      <family val="2"/>
    </font>
    <font>
      <b/>
      <sz val="14"/>
      <color rgb="FF0070C0"/>
      <name val="Cordia New"/>
      <family val="2"/>
    </font>
    <font>
      <sz val="10"/>
      <color theme="0"/>
      <name val="Angsana New"/>
      <family val="1"/>
    </font>
    <font>
      <sz val="14"/>
      <color rgb="FF000000"/>
      <name val="Cordia New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3D3D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8" fillId="0" borderId="1">
      <alignment horizontal="center"/>
    </xf>
    <xf numFmtId="0" fontId="27" fillId="6" borderId="2">
      <alignment horizontal="center"/>
    </xf>
    <xf numFmtId="0" fontId="2" fillId="0" borderId="0"/>
    <xf numFmtId="43" fontId="1" fillId="0" borderId="0" applyFont="0" applyFill="0" applyBorder="0" applyAlignment="0" applyProtection="0"/>
  </cellStyleXfs>
  <cellXfs count="353">
    <xf numFmtId="0" fontId="0" fillId="0" borderId="0" xfId="0"/>
    <xf numFmtId="43" fontId="3" fillId="2" borderId="3" xfId="5" applyFont="1" applyFill="1" applyBorder="1" applyAlignment="1" applyProtection="1">
      <alignment horizontal="center"/>
      <protection locked="0"/>
    </xf>
    <xf numFmtId="43" fontId="3" fillId="2" borderId="3" xfId="5" applyFont="1" applyFill="1" applyBorder="1" applyAlignment="1">
      <alignment horizontal="center"/>
    </xf>
    <xf numFmtId="43" fontId="3" fillId="3" borderId="3" xfId="5" applyFont="1" applyFill="1" applyBorder="1" applyAlignment="1" applyProtection="1">
      <alignment horizontal="center"/>
      <protection locked="0"/>
    </xf>
    <xf numFmtId="43" fontId="3" fillId="3" borderId="3" xfId="5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3" fillId="2" borderId="6" xfId="0" applyFont="1" applyFill="1" applyBorder="1" applyAlignment="1" applyProtection="1">
      <alignment horizontal="center" shrinkToFit="1"/>
      <protection locked="0"/>
    </xf>
    <xf numFmtId="0" fontId="0" fillId="2" borderId="4" xfId="0" applyFill="1" applyBorder="1" applyAlignment="1">
      <alignment horizontal="center"/>
    </xf>
    <xf numFmtId="0" fontId="3" fillId="3" borderId="6" xfId="0" applyFont="1" applyFill="1" applyBorder="1" applyAlignment="1" applyProtection="1">
      <alignment horizontal="center" shrinkToFit="1"/>
      <protection locked="0"/>
    </xf>
    <xf numFmtId="0" fontId="0" fillId="3" borderId="4" xfId="0" applyFill="1" applyBorder="1" applyAlignment="1">
      <alignment horizontal="center"/>
    </xf>
    <xf numFmtId="0" fontId="4" fillId="7" borderId="7" xfId="0" applyFont="1" applyFill="1" applyBorder="1"/>
    <xf numFmtId="0" fontId="5" fillId="0" borderId="0" xfId="0" applyFont="1"/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4" fillId="7" borderId="12" xfId="0" applyFont="1" applyFill="1" applyBorder="1"/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/>
    <xf numFmtId="0" fontId="4" fillId="7" borderId="16" xfId="0" applyFont="1" applyFill="1" applyBorder="1"/>
    <xf numFmtId="0" fontId="4" fillId="7" borderId="17" xfId="0" applyFont="1" applyFill="1" applyBorder="1"/>
    <xf numFmtId="0" fontId="4" fillId="7" borderId="18" xfId="0" applyFont="1" applyFill="1" applyBorder="1"/>
    <xf numFmtId="0" fontId="0" fillId="7" borderId="19" xfId="0" applyFill="1" applyBorder="1"/>
    <xf numFmtId="0" fontId="0" fillId="0" borderId="20" xfId="0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4" fillId="7" borderId="2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right"/>
    </xf>
    <xf numFmtId="190" fontId="3" fillId="0" borderId="26" xfId="0" applyNumberFormat="1" applyFont="1" applyBorder="1" applyAlignment="1" applyProtection="1">
      <alignment horizontal="center"/>
      <protection locked="0"/>
    </xf>
    <xf numFmtId="0" fontId="0" fillId="0" borderId="27" xfId="0" applyBorder="1" applyAlignment="1">
      <alignment horizontal="center"/>
    </xf>
    <xf numFmtId="190" fontId="3" fillId="0" borderId="27" xfId="0" applyNumberFormat="1" applyFont="1" applyBorder="1" applyAlignment="1" applyProtection="1">
      <alignment horizontal="center" shrinkToFit="1"/>
      <protection locked="0"/>
    </xf>
    <xf numFmtId="190" fontId="2" fillId="0" borderId="27" xfId="0" applyNumberFormat="1" applyFont="1" applyBorder="1" applyAlignment="1" applyProtection="1">
      <alignment horizontal="center" shrinkToFit="1"/>
      <protection locked="0"/>
    </xf>
    <xf numFmtId="0" fontId="3" fillId="0" borderId="27" xfId="0" applyFont="1" applyBorder="1" applyAlignment="1" applyProtection="1">
      <alignment horizontal="center"/>
      <protection locked="0"/>
    </xf>
    <xf numFmtId="0" fontId="3" fillId="0" borderId="27" xfId="0" applyFont="1" applyBorder="1" applyAlignment="1">
      <alignment horizontal="center" shrinkToFit="1"/>
    </xf>
    <xf numFmtId="0" fontId="0" fillId="0" borderId="28" xfId="0" applyBorder="1" applyAlignment="1" applyProtection="1">
      <alignment horizontal="center" shrinkToFit="1"/>
      <protection locked="0"/>
    </xf>
    <xf numFmtId="0" fontId="5" fillId="0" borderId="29" xfId="0" applyFont="1" applyBorder="1"/>
    <xf numFmtId="0" fontId="5" fillId="0" borderId="30" xfId="0" applyFont="1" applyBorder="1"/>
    <xf numFmtId="0" fontId="5" fillId="0" borderId="5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0" fontId="7" fillId="0" borderId="34" xfId="0" applyFont="1" applyBorder="1"/>
    <xf numFmtId="0" fontId="7" fillId="0" borderId="0" xfId="0" applyFont="1"/>
    <xf numFmtId="0" fontId="7" fillId="0" borderId="35" xfId="0" applyFont="1" applyBorder="1"/>
    <xf numFmtId="0" fontId="0" fillId="8" borderId="0" xfId="0" applyFill="1"/>
    <xf numFmtId="0" fontId="0" fillId="9" borderId="35" xfId="0" applyFill="1" applyBorder="1"/>
    <xf numFmtId="0" fontId="5" fillId="9" borderId="35" xfId="0" applyFont="1" applyFill="1" applyBorder="1"/>
    <xf numFmtId="0" fontId="5" fillId="9" borderId="5" xfId="0" applyFont="1" applyFill="1" applyBorder="1"/>
    <xf numFmtId="0" fontId="0" fillId="9" borderId="34" xfId="0" applyFill="1" applyBorder="1"/>
    <xf numFmtId="0" fontId="5" fillId="9" borderId="34" xfId="0" applyFont="1" applyFill="1" applyBorder="1"/>
    <xf numFmtId="0" fontId="5" fillId="9" borderId="29" xfId="0" applyFont="1" applyFill="1" applyBorder="1"/>
    <xf numFmtId="0" fontId="5" fillId="9" borderId="30" xfId="0" applyFont="1" applyFill="1" applyBorder="1"/>
    <xf numFmtId="0" fontId="5" fillId="9" borderId="0" xfId="0" applyFont="1" applyFill="1"/>
    <xf numFmtId="0" fontId="0" fillId="9" borderId="0" xfId="0" applyFill="1"/>
    <xf numFmtId="0" fontId="2" fillId="8" borderId="0" xfId="0" applyFont="1" applyFill="1"/>
    <xf numFmtId="0" fontId="4" fillId="7" borderId="36" xfId="0" applyFont="1" applyFill="1" applyBorder="1" applyProtection="1">
      <protection locked="0"/>
    </xf>
    <xf numFmtId="0" fontId="4" fillId="7" borderId="13" xfId="0" applyFont="1" applyFill="1" applyBorder="1"/>
    <xf numFmtId="0" fontId="2" fillId="0" borderId="14" xfId="0" applyFont="1" applyBorder="1" applyAlignment="1" applyProtection="1">
      <alignment horizontal="left" indent="1"/>
      <protection locked="0"/>
    </xf>
    <xf numFmtId="0" fontId="4" fillId="7" borderId="23" xfId="0" applyFont="1" applyFill="1" applyBorder="1"/>
    <xf numFmtId="0" fontId="7" fillId="10" borderId="37" xfId="0" applyFont="1" applyFill="1" applyBorder="1"/>
    <xf numFmtId="0" fontId="7" fillId="11" borderId="37" xfId="0" applyFont="1" applyFill="1" applyBorder="1"/>
    <xf numFmtId="0" fontId="2" fillId="3" borderId="31" xfId="0" applyFont="1" applyFill="1" applyBorder="1" applyAlignment="1" applyProtection="1">
      <alignment vertical="center" shrinkToFit="1"/>
      <protection locked="0"/>
    </xf>
    <xf numFmtId="0" fontId="2" fillId="9" borderId="31" xfId="0" applyFont="1" applyFill="1" applyBorder="1" applyAlignment="1">
      <alignment vertical="center"/>
    </xf>
    <xf numFmtId="0" fontId="29" fillId="9" borderId="32" xfId="0" applyFont="1" applyFill="1" applyBorder="1" applyAlignment="1">
      <alignment vertical="center"/>
    </xf>
    <xf numFmtId="0" fontId="2" fillId="9" borderId="32" xfId="0" applyFont="1" applyFill="1" applyBorder="1" applyAlignment="1">
      <alignment vertical="center"/>
    </xf>
    <xf numFmtId="0" fontId="2" fillId="9" borderId="3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90" fontId="2" fillId="0" borderId="31" xfId="0" applyNumberFormat="1" applyFont="1" applyBorder="1" applyAlignment="1" applyProtection="1">
      <alignment vertical="center"/>
      <protection locked="0"/>
    </xf>
    <xf numFmtId="0" fontId="2" fillId="0" borderId="32" xfId="0" applyFont="1" applyBorder="1" applyAlignment="1">
      <alignment horizontal="center" vertical="center"/>
    </xf>
    <xf numFmtId="190" fontId="2" fillId="0" borderId="32" xfId="0" applyNumberFormat="1" applyFont="1" applyBorder="1" applyAlignment="1" applyProtection="1">
      <alignment horizontal="center" vertical="center"/>
      <protection locked="0"/>
    </xf>
    <xf numFmtId="190" fontId="2" fillId="0" borderId="32" xfId="0" applyNumberFormat="1" applyFont="1" applyBorder="1" applyAlignment="1" applyProtection="1">
      <alignment horizontal="center" vertical="center" shrinkToFit="1"/>
      <protection locked="0"/>
    </xf>
    <xf numFmtId="0" fontId="2" fillId="0" borderId="32" xfId="0" applyFont="1" applyBorder="1" applyAlignment="1" applyProtection="1">
      <alignment vertical="center"/>
      <protection locked="0"/>
    </xf>
    <xf numFmtId="0" fontId="2" fillId="0" borderId="32" xfId="0" applyFont="1" applyBorder="1" applyAlignment="1" applyProtection="1">
      <alignment vertical="center" shrinkToFit="1"/>
      <protection locked="0"/>
    </xf>
    <xf numFmtId="0" fontId="2" fillId="2" borderId="31" xfId="0" applyFont="1" applyFill="1" applyBorder="1" applyAlignment="1" applyProtection="1">
      <alignment vertical="center" shrinkToFit="1"/>
      <protection locked="0"/>
    </xf>
    <xf numFmtId="43" fontId="2" fillId="2" borderId="32" xfId="5" applyFont="1" applyFill="1" applyBorder="1" applyAlignment="1" applyProtection="1">
      <alignment vertical="center"/>
      <protection locked="0"/>
    </xf>
    <xf numFmtId="43" fontId="2" fillId="2" borderId="32" xfId="5" applyFont="1" applyFill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43" fontId="2" fillId="3" borderId="32" xfId="5" applyFont="1" applyFill="1" applyBorder="1" applyAlignment="1" applyProtection="1">
      <alignment vertical="center"/>
      <protection locked="0"/>
    </xf>
    <xf numFmtId="43" fontId="2" fillId="3" borderId="32" xfId="5" applyFont="1" applyFill="1" applyBorder="1" applyAlignment="1">
      <alignment vertical="center"/>
    </xf>
    <xf numFmtId="0" fontId="2" fillId="3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43" fontId="0" fillId="0" borderId="38" xfId="5" applyFont="1" applyBorder="1" applyProtection="1">
      <protection locked="0"/>
    </xf>
    <xf numFmtId="9" fontId="0" fillId="0" borderId="38" xfId="0" applyNumberFormat="1" applyBorder="1" applyProtection="1">
      <protection locked="0"/>
    </xf>
    <xf numFmtId="43" fontId="0" fillId="0" borderId="39" xfId="5" applyFont="1" applyBorder="1" applyProtection="1">
      <protection locked="0"/>
    </xf>
    <xf numFmtId="9" fontId="0" fillId="0" borderId="39" xfId="0" applyNumberFormat="1" applyBorder="1" applyProtection="1">
      <protection locked="0"/>
    </xf>
    <xf numFmtId="0" fontId="0" fillId="12" borderId="40" xfId="0" applyFill="1" applyBorder="1" applyAlignment="1" applyProtection="1">
      <alignment horizontal="left" indent="1"/>
      <protection hidden="1"/>
    </xf>
    <xf numFmtId="43" fontId="8" fillId="12" borderId="41" xfId="5" applyFont="1" applyFill="1" applyBorder="1" applyProtection="1">
      <protection hidden="1"/>
    </xf>
    <xf numFmtId="43" fontId="8" fillId="12" borderId="42" xfId="5" applyFont="1" applyFill="1" applyBorder="1" applyProtection="1">
      <protection hidden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6" fillId="0" borderId="3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4" fillId="0" borderId="0" xfId="0" applyFont="1"/>
    <xf numFmtId="0" fontId="15" fillId="0" borderId="0" xfId="0" quotePrefix="1" applyFont="1" applyAlignment="1">
      <alignment vertical="center"/>
    </xf>
    <xf numFmtId="0" fontId="15" fillId="0" borderId="37" xfId="0" applyFont="1" applyBorder="1" applyAlignment="1">
      <alignment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7" fillId="0" borderId="34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0" fillId="0" borderId="34" xfId="0" quotePrefix="1" applyFont="1" applyBorder="1" applyAlignment="1">
      <alignment horizontal="center" vertical="center"/>
    </xf>
    <xf numFmtId="0" fontId="10" fillId="0" borderId="0" xfId="0" quotePrefix="1" applyFont="1" applyAlignment="1">
      <alignment vertical="center"/>
    </xf>
    <xf numFmtId="0" fontId="10" fillId="0" borderId="34" xfId="0" quotePrefix="1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47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5" fillId="0" borderId="48" xfId="0" applyFont="1" applyBorder="1" applyAlignment="1">
      <alignment vertical="center"/>
    </xf>
    <xf numFmtId="0" fontId="22" fillId="0" borderId="0" xfId="0" applyFont="1" applyAlignment="1">
      <alignment horizontal="right" vertical="center"/>
    </xf>
    <xf numFmtId="0" fontId="15" fillId="0" borderId="49" xfId="0" applyFont="1" applyBorder="1" applyAlignment="1">
      <alignment vertical="center"/>
    </xf>
    <xf numFmtId="0" fontId="23" fillId="0" borderId="34" xfId="0" applyFont="1" applyBorder="1" applyAlignment="1">
      <alignment vertical="center"/>
    </xf>
    <xf numFmtId="0" fontId="22" fillId="0" borderId="31" xfId="0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5" fillId="0" borderId="32" xfId="0" applyFont="1" applyBorder="1" applyAlignment="1">
      <alignment horizontal="right" vertical="center"/>
    </xf>
    <xf numFmtId="0" fontId="15" fillId="0" borderId="33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15" fillId="0" borderId="50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/>
    </xf>
    <xf numFmtId="0" fontId="15" fillId="0" borderId="50" xfId="0" quotePrefix="1" applyFont="1" applyBorder="1" applyAlignment="1">
      <alignment horizontal="center" vertical="center"/>
    </xf>
    <xf numFmtId="0" fontId="10" fillId="0" borderId="50" xfId="0" applyFont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22" fillId="0" borderId="50" xfId="0" applyFont="1" applyBorder="1" applyAlignment="1">
      <alignment vertical="center"/>
    </xf>
    <xf numFmtId="0" fontId="24" fillId="0" borderId="50" xfId="0" applyFont="1" applyBorder="1" applyAlignment="1">
      <alignment vertical="center"/>
    </xf>
    <xf numFmtId="43" fontId="15" fillId="0" borderId="50" xfId="5" applyFont="1" applyBorder="1" applyAlignment="1">
      <alignment horizontal="center" vertical="center"/>
    </xf>
    <xf numFmtId="43" fontId="15" fillId="0" borderId="50" xfId="5" applyFont="1" applyBorder="1" applyAlignment="1">
      <alignment horizontal="right" vertical="center"/>
    </xf>
    <xf numFmtId="0" fontId="10" fillId="0" borderId="34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0" fillId="0" borderId="3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87" fontId="10" fillId="0" borderId="0" xfId="0" applyNumberFormat="1" applyFont="1" applyAlignment="1">
      <alignment horizontal="center" vertical="center"/>
    </xf>
    <xf numFmtId="187" fontId="10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10" fillId="0" borderId="5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45" xfId="0" applyFont="1" applyBorder="1" applyAlignment="1">
      <alignment vertical="center"/>
    </xf>
    <xf numFmtId="0" fontId="26" fillId="0" borderId="46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192" fontId="26" fillId="0" borderId="45" xfId="5" applyNumberFormat="1" applyFont="1" applyBorder="1" applyAlignment="1">
      <alignment horizontal="center" vertical="center"/>
    </xf>
    <xf numFmtId="192" fontId="26" fillId="0" borderId="46" xfId="5" applyNumberFormat="1" applyFont="1" applyBorder="1" applyAlignment="1">
      <alignment horizontal="center" vertical="center"/>
    </xf>
    <xf numFmtId="43" fontId="26" fillId="0" borderId="46" xfId="5" applyFont="1" applyBorder="1" applyAlignment="1">
      <alignment vertical="center"/>
    </xf>
    <xf numFmtId="43" fontId="26" fillId="0" borderId="65" xfId="5" applyFont="1" applyBorder="1" applyAlignment="1">
      <alignment vertical="center"/>
    </xf>
    <xf numFmtId="43" fontId="26" fillId="0" borderId="0" xfId="5" applyFont="1" applyBorder="1" applyAlignment="1">
      <alignment vertical="center"/>
    </xf>
    <xf numFmtId="43" fontId="26" fillId="0" borderId="35" xfId="5" applyFont="1" applyBorder="1" applyAlignment="1">
      <alignment vertical="center"/>
    </xf>
    <xf numFmtId="43" fontId="26" fillId="0" borderId="72" xfId="5" applyFont="1" applyBorder="1" applyAlignment="1">
      <alignment vertical="center"/>
    </xf>
    <xf numFmtId="43" fontId="26" fillId="0" borderId="87" xfId="5" applyFont="1" applyBorder="1" applyAlignment="1">
      <alignment vertical="center"/>
    </xf>
    <xf numFmtId="192" fontId="26" fillId="0" borderId="53" xfId="5" applyNumberFormat="1" applyFont="1" applyBorder="1" applyAlignment="1">
      <alignment horizontal="center" vertical="center"/>
    </xf>
    <xf numFmtId="192" fontId="26" fillId="0" borderId="0" xfId="5" applyNumberFormat="1" applyFont="1" applyBorder="1" applyAlignment="1">
      <alignment horizontal="center" vertical="center"/>
    </xf>
    <xf numFmtId="43" fontId="26" fillId="0" borderId="45" xfId="5" applyFont="1" applyBorder="1" applyAlignment="1">
      <alignment horizontal="right" vertical="center"/>
    </xf>
    <xf numFmtId="43" fontId="26" fillId="0" borderId="46" xfId="5" applyFont="1" applyBorder="1" applyAlignment="1">
      <alignment horizontal="right" vertical="center"/>
    </xf>
    <xf numFmtId="43" fontId="26" fillId="0" borderId="47" xfId="5" applyFont="1" applyBorder="1" applyAlignment="1">
      <alignment horizontal="right" vertical="center"/>
    </xf>
    <xf numFmtId="43" fontId="26" fillId="0" borderId="53" xfId="5" applyFont="1" applyBorder="1" applyAlignment="1">
      <alignment horizontal="right" vertical="center"/>
    </xf>
    <xf numFmtId="43" fontId="26" fillId="0" borderId="0" xfId="5" applyFont="1" applyBorder="1" applyAlignment="1">
      <alignment horizontal="right" vertical="center"/>
    </xf>
    <xf numFmtId="43" fontId="26" fillId="0" borderId="51" xfId="5" applyFont="1" applyBorder="1" applyAlignment="1">
      <alignment horizontal="right" vertical="center"/>
    </xf>
    <xf numFmtId="43" fontId="26" fillId="0" borderId="78" xfId="5" applyFont="1" applyBorder="1" applyAlignment="1">
      <alignment vertical="center"/>
    </xf>
    <xf numFmtId="43" fontId="26" fillId="0" borderId="86" xfId="5" applyFont="1" applyBorder="1" applyAlignment="1">
      <alignment vertical="center"/>
    </xf>
    <xf numFmtId="43" fontId="26" fillId="0" borderId="81" xfId="5" applyFont="1" applyBorder="1" applyAlignment="1">
      <alignment horizontal="center" vertical="center"/>
    </xf>
    <xf numFmtId="43" fontId="26" fillId="0" borderId="82" xfId="5" applyFont="1" applyBorder="1" applyAlignment="1">
      <alignment horizontal="center" vertical="center"/>
    </xf>
    <xf numFmtId="43" fontId="26" fillId="0" borderId="83" xfId="5" applyFont="1" applyBorder="1" applyAlignment="1">
      <alignment horizontal="center" vertical="center"/>
    </xf>
    <xf numFmtId="43" fontId="9" fillId="0" borderId="46" xfId="5" applyFont="1" applyBorder="1" applyAlignment="1">
      <alignment vertical="center"/>
    </xf>
    <xf numFmtId="43" fontId="9" fillId="0" borderId="65" xfId="5" applyFont="1" applyBorder="1" applyAlignment="1">
      <alignment vertical="center"/>
    </xf>
    <xf numFmtId="192" fontId="20" fillId="0" borderId="45" xfId="5" applyNumberFormat="1" applyFont="1" applyBorder="1" applyAlignment="1">
      <alignment horizontal="center" vertical="center"/>
    </xf>
    <xf numFmtId="192" fontId="20" fillId="0" borderId="46" xfId="5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190" fontId="26" fillId="0" borderId="45" xfId="0" applyNumberFormat="1" applyFont="1" applyBorder="1" applyAlignment="1">
      <alignment horizontal="center" vertical="center"/>
    </xf>
    <xf numFmtId="190" fontId="26" fillId="0" borderId="46" xfId="0" applyNumberFormat="1" applyFont="1" applyBorder="1" applyAlignment="1">
      <alignment horizontal="center" vertical="center"/>
    </xf>
    <xf numFmtId="190" fontId="26" fillId="0" borderId="47" xfId="0" applyNumberFormat="1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54" xfId="0" applyFont="1" applyBorder="1" applyAlignment="1">
      <alignment vertical="center"/>
    </xf>
    <xf numFmtId="0" fontId="10" fillId="0" borderId="75" xfId="0" applyFont="1" applyBorder="1" applyAlignment="1">
      <alignment horizontal="center" vertical="center"/>
    </xf>
    <xf numFmtId="192" fontId="20" fillId="0" borderId="53" xfId="5" applyNumberFormat="1" applyFont="1" applyBorder="1" applyAlignment="1">
      <alignment horizontal="center" vertical="center"/>
    </xf>
    <xf numFmtId="192" fontId="20" fillId="0" borderId="0" xfId="5" applyNumberFormat="1" applyFont="1" applyBorder="1" applyAlignment="1">
      <alignment horizontal="center" vertical="center"/>
    </xf>
    <xf numFmtId="43" fontId="9" fillId="0" borderId="0" xfId="5" applyFont="1" applyBorder="1" applyAlignment="1">
      <alignment vertical="center"/>
    </xf>
    <xf numFmtId="43" fontId="9" fillId="0" borderId="35" xfId="5" applyFont="1" applyBorder="1" applyAlignment="1">
      <alignment vertical="center"/>
    </xf>
    <xf numFmtId="0" fontId="26" fillId="0" borderId="80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14" fillId="4" borderId="0" xfId="0" applyFont="1" applyFill="1" applyAlignment="1" applyProtection="1">
      <alignment horizontal="left" vertical="center"/>
      <protection locked="0"/>
    </xf>
    <xf numFmtId="0" fontId="14" fillId="2" borderId="0" xfId="0" applyFont="1" applyFill="1" applyAlignment="1" applyProtection="1">
      <alignment vertical="center"/>
      <protection locked="0"/>
    </xf>
    <xf numFmtId="0" fontId="14" fillId="0" borderId="30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30" fillId="0" borderId="72" xfId="0" applyFont="1" applyBorder="1" applyAlignment="1" applyProtection="1">
      <alignment horizontal="center" vertical="center"/>
      <protection locked="0"/>
    </xf>
    <xf numFmtId="192" fontId="26" fillId="0" borderId="71" xfId="5" applyNumberFormat="1" applyFont="1" applyBorder="1" applyAlignment="1">
      <alignment horizontal="center" vertical="center"/>
    </xf>
    <xf numFmtId="192" fontId="26" fillId="0" borderId="72" xfId="5" applyNumberFormat="1" applyFont="1" applyBorder="1" applyAlignment="1">
      <alignment horizontal="center" vertical="center"/>
    </xf>
    <xf numFmtId="192" fontId="26" fillId="0" borderId="77" xfId="5" applyNumberFormat="1" applyFont="1" applyBorder="1" applyAlignment="1">
      <alignment horizontal="center" vertical="center"/>
    </xf>
    <xf numFmtId="192" fontId="26" fillId="0" borderId="78" xfId="5" applyNumberFormat="1" applyFont="1" applyBorder="1" applyAlignment="1">
      <alignment horizontal="center" vertical="center"/>
    </xf>
    <xf numFmtId="0" fontId="15" fillId="0" borderId="0" xfId="0" quotePrefix="1" applyFont="1" applyAlignment="1">
      <alignment vertical="center"/>
    </xf>
    <xf numFmtId="0" fontId="10" fillId="0" borderId="5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4" fillId="0" borderId="54" xfId="0" applyFont="1" applyBorder="1" applyAlignment="1">
      <alignment horizontal="left" vertical="center" wrapText="1" indent="1"/>
    </xf>
    <xf numFmtId="0" fontId="14" fillId="0" borderId="54" xfId="0" applyFont="1" applyBorder="1" applyAlignment="1">
      <alignment horizontal="left" vertical="center" indent="1"/>
    </xf>
    <xf numFmtId="0" fontId="14" fillId="0" borderId="54" xfId="0" applyFont="1" applyBorder="1" applyAlignment="1">
      <alignment horizontal="left" vertical="center" indent="1" shrinkToFit="1"/>
    </xf>
    <xf numFmtId="0" fontId="11" fillId="0" borderId="54" xfId="0" applyFont="1" applyBorder="1" applyAlignment="1">
      <alignment horizontal="left" vertical="center" indent="1"/>
    </xf>
    <xf numFmtId="188" fontId="15" fillId="0" borderId="0" xfId="0" applyNumberFormat="1" applyFont="1" applyAlignment="1">
      <alignment horizontal="left" vertical="center"/>
    </xf>
    <xf numFmtId="0" fontId="10" fillId="0" borderId="50" xfId="0" applyFont="1" applyBorder="1" applyAlignment="1">
      <alignment horizontal="center" vertical="center"/>
    </xf>
    <xf numFmtId="189" fontId="15" fillId="0" borderId="55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0" fillId="0" borderId="34" xfId="0" quotePrefix="1" applyFont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190" fontId="9" fillId="0" borderId="45" xfId="0" applyNumberFormat="1" applyFont="1" applyBorder="1" applyAlignment="1">
      <alignment horizontal="center" vertical="center"/>
    </xf>
    <xf numFmtId="190" fontId="9" fillId="0" borderId="46" xfId="0" applyNumberFormat="1" applyFont="1" applyBorder="1" applyAlignment="1">
      <alignment horizontal="center" vertical="center"/>
    </xf>
    <xf numFmtId="190" fontId="9" fillId="0" borderId="47" xfId="0" applyNumberFormat="1" applyFont="1" applyBorder="1" applyAlignment="1">
      <alignment horizontal="center" vertical="center"/>
    </xf>
    <xf numFmtId="43" fontId="15" fillId="0" borderId="30" xfId="5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43" fontId="26" fillId="0" borderId="84" xfId="5" applyFont="1" applyBorder="1" applyAlignment="1">
      <alignment horizontal="center" vertical="center"/>
    </xf>
    <xf numFmtId="0" fontId="15" fillId="0" borderId="29" xfId="0" quotePrefix="1" applyFont="1" applyBorder="1" applyAlignment="1">
      <alignment horizontal="center" vertical="center"/>
    </xf>
    <xf numFmtId="0" fontId="15" fillId="0" borderId="30" xfId="0" quotePrefix="1" applyFont="1" applyBorder="1" applyAlignment="1">
      <alignment horizontal="center" vertical="center"/>
    </xf>
    <xf numFmtId="0" fontId="14" fillId="0" borderId="54" xfId="0" applyFont="1" applyBorder="1" applyAlignment="1">
      <alignment vertical="center" shrinkToFit="1"/>
    </xf>
    <xf numFmtId="190" fontId="9" fillId="0" borderId="71" xfId="0" applyNumberFormat="1" applyFont="1" applyBorder="1" applyAlignment="1">
      <alignment horizontal="center" vertical="center"/>
    </xf>
    <xf numFmtId="190" fontId="9" fillId="0" borderId="72" xfId="0" applyNumberFormat="1" applyFont="1" applyBorder="1" applyAlignment="1">
      <alignment horizontal="center" vertical="center"/>
    </xf>
    <xf numFmtId="190" fontId="9" fillId="0" borderId="73" xfId="0" applyNumberFormat="1" applyFont="1" applyBorder="1" applyAlignment="1">
      <alignment horizontal="center" vertical="center"/>
    </xf>
    <xf numFmtId="43" fontId="15" fillId="0" borderId="48" xfId="5" applyFont="1" applyBorder="1" applyAlignment="1">
      <alignment horizontal="right" vertical="center"/>
    </xf>
    <xf numFmtId="43" fontId="15" fillId="0" borderId="5" xfId="5" applyFont="1" applyBorder="1" applyAlignment="1">
      <alignment horizontal="right" vertical="center"/>
    </xf>
    <xf numFmtId="43" fontId="9" fillId="0" borderId="67" xfId="5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2" fillId="5" borderId="69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43" fontId="9" fillId="0" borderId="45" xfId="5" applyFont="1" applyBorder="1" applyAlignment="1">
      <alignment horizontal="right" vertical="center"/>
    </xf>
    <xf numFmtId="43" fontId="9" fillId="0" borderId="46" xfId="5" applyFont="1" applyBorder="1" applyAlignment="1">
      <alignment horizontal="right" vertical="center"/>
    </xf>
    <xf numFmtId="0" fontId="15" fillId="0" borderId="67" xfId="0" applyFont="1" applyBorder="1" applyAlignment="1">
      <alignment vertical="center"/>
    </xf>
    <xf numFmtId="43" fontId="9" fillId="0" borderId="88" xfId="5" applyFont="1" applyBorder="1" applyAlignment="1">
      <alignment horizontal="right" vertical="center"/>
    </xf>
    <xf numFmtId="43" fontId="15" fillId="0" borderId="76" xfId="5" applyFont="1" applyBorder="1" applyAlignment="1">
      <alignment horizontal="right" vertical="center"/>
    </xf>
    <xf numFmtId="43" fontId="15" fillId="0" borderId="30" xfId="5" applyFont="1" applyBorder="1" applyAlignment="1">
      <alignment horizontal="center" vertical="center"/>
    </xf>
    <xf numFmtId="192" fontId="20" fillId="0" borderId="71" xfId="5" applyNumberFormat="1" applyFont="1" applyBorder="1" applyAlignment="1">
      <alignment horizontal="center" vertical="center"/>
    </xf>
    <xf numFmtId="192" fontId="20" fillId="0" borderId="72" xfId="5" applyNumberFormat="1" applyFont="1" applyBorder="1" applyAlignment="1">
      <alignment horizontal="center" vertical="center"/>
    </xf>
    <xf numFmtId="0" fontId="15" fillId="0" borderId="34" xfId="0" quotePrefix="1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43" fontId="9" fillId="0" borderId="72" xfId="5" applyFont="1" applyBorder="1" applyAlignment="1">
      <alignment vertical="center"/>
    </xf>
    <xf numFmtId="43" fontId="9" fillId="0" borderId="87" xfId="5" applyFont="1" applyBorder="1" applyAlignment="1">
      <alignment vertical="center"/>
    </xf>
    <xf numFmtId="43" fontId="9" fillId="0" borderId="47" xfId="5" applyFont="1" applyBorder="1" applyAlignment="1">
      <alignment horizontal="right" vertical="center"/>
    </xf>
    <xf numFmtId="43" fontId="9" fillId="0" borderId="77" xfId="5" applyFont="1" applyBorder="1" applyAlignment="1">
      <alignment horizontal="right" vertical="center"/>
    </xf>
    <xf numFmtId="43" fontId="9" fillId="0" borderId="78" xfId="5" applyFont="1" applyBorder="1" applyAlignment="1">
      <alignment horizontal="right" vertical="center"/>
    </xf>
    <xf numFmtId="43" fontId="9" fillId="0" borderId="79" xfId="5" applyFont="1" applyBorder="1" applyAlignment="1">
      <alignment horizontal="right" vertical="center"/>
    </xf>
    <xf numFmtId="190" fontId="9" fillId="0" borderId="77" xfId="0" applyNumberFormat="1" applyFont="1" applyBorder="1" applyAlignment="1">
      <alignment horizontal="center" vertical="center"/>
    </xf>
    <xf numFmtId="190" fontId="9" fillId="0" borderId="78" xfId="0" applyNumberFormat="1" applyFont="1" applyBorder="1" applyAlignment="1">
      <alignment horizontal="center" vertical="center"/>
    </xf>
    <xf numFmtId="190" fontId="9" fillId="0" borderId="79" xfId="0" applyNumberFormat="1" applyFont="1" applyBorder="1" applyAlignment="1">
      <alignment horizontal="center" vertical="center"/>
    </xf>
    <xf numFmtId="192" fontId="20" fillId="0" borderId="77" xfId="5" applyNumberFormat="1" applyFont="1" applyBorder="1" applyAlignment="1">
      <alignment horizontal="center" vertical="center"/>
    </xf>
    <xf numFmtId="192" fontId="20" fillId="0" borderId="78" xfId="5" applyNumberFormat="1" applyFont="1" applyBorder="1" applyAlignment="1">
      <alignment horizontal="center" vertical="center"/>
    </xf>
    <xf numFmtId="43" fontId="9" fillId="0" borderId="78" xfId="5" applyFont="1" applyBorder="1" applyAlignment="1">
      <alignment vertical="center"/>
    </xf>
    <xf numFmtId="43" fontId="9" fillId="0" borderId="86" xfId="5" applyFont="1" applyBorder="1" applyAlignment="1">
      <alignment vertical="center"/>
    </xf>
    <xf numFmtId="190" fontId="9" fillId="0" borderId="53" xfId="0" applyNumberFormat="1" applyFont="1" applyBorder="1" applyAlignment="1">
      <alignment horizontal="center" vertical="center"/>
    </xf>
    <xf numFmtId="190" fontId="9" fillId="0" borderId="0" xfId="0" applyNumberFormat="1" applyFont="1" applyAlignment="1">
      <alignment horizontal="center" vertical="center"/>
    </xf>
    <xf numFmtId="190" fontId="9" fillId="0" borderId="51" xfId="0" applyNumberFormat="1" applyFont="1" applyBorder="1" applyAlignment="1">
      <alignment horizontal="center" vertical="center"/>
    </xf>
    <xf numFmtId="43" fontId="9" fillId="0" borderId="53" xfId="5" applyFont="1" applyBorder="1" applyAlignment="1">
      <alignment horizontal="right" vertical="center"/>
    </xf>
    <xf numFmtId="43" fontId="9" fillId="0" borderId="0" xfId="5" applyFont="1" applyBorder="1" applyAlignment="1">
      <alignment horizontal="right" vertical="center"/>
    </xf>
    <xf numFmtId="43" fontId="9" fillId="0" borderId="51" xfId="5" applyFont="1" applyBorder="1" applyAlignment="1">
      <alignment horizontal="right" vertical="center"/>
    </xf>
    <xf numFmtId="43" fontId="9" fillId="0" borderId="71" xfId="5" applyFont="1" applyBorder="1" applyAlignment="1">
      <alignment horizontal="right" vertical="center"/>
    </xf>
    <xf numFmtId="43" fontId="9" fillId="0" borderId="72" xfId="5" applyFont="1" applyBorder="1" applyAlignment="1">
      <alignment horizontal="right" vertical="center"/>
    </xf>
    <xf numFmtId="43" fontId="9" fillId="0" borderId="73" xfId="5" applyFont="1" applyBorder="1" applyAlignment="1">
      <alignment horizontal="right" vertical="center"/>
    </xf>
    <xf numFmtId="191" fontId="26" fillId="0" borderId="66" xfId="5" applyNumberFormat="1" applyFont="1" applyBorder="1" applyAlignment="1">
      <alignment horizontal="center" vertical="center"/>
    </xf>
    <xf numFmtId="191" fontId="26" fillId="0" borderId="67" xfId="5" applyNumberFormat="1" applyFont="1" applyBorder="1" applyAlignment="1">
      <alignment horizontal="center" vertical="center"/>
    </xf>
    <xf numFmtId="191" fontId="26" fillId="0" borderId="68" xfId="5" applyNumberFormat="1" applyFont="1" applyBorder="1" applyAlignment="1">
      <alignment horizontal="center" vertical="center"/>
    </xf>
    <xf numFmtId="190" fontId="26" fillId="0" borderId="66" xfId="0" applyNumberFormat="1" applyFont="1" applyBorder="1" applyAlignment="1">
      <alignment horizontal="center" vertical="center"/>
    </xf>
    <xf numFmtId="190" fontId="26" fillId="0" borderId="67" xfId="0" applyNumberFormat="1" applyFont="1" applyBorder="1" applyAlignment="1">
      <alignment horizontal="center" vertical="center"/>
    </xf>
    <xf numFmtId="190" fontId="26" fillId="0" borderId="85" xfId="0" applyNumberFormat="1" applyFont="1" applyBorder="1" applyAlignment="1">
      <alignment horizontal="center" vertical="center"/>
    </xf>
    <xf numFmtId="191" fontId="26" fillId="0" borderId="66" xfId="5" applyNumberFormat="1" applyFont="1" applyBorder="1" applyAlignment="1">
      <alignment horizontal="right" vertical="center"/>
    </xf>
    <xf numFmtId="191" fontId="26" fillId="0" borderId="67" xfId="5" applyNumberFormat="1" applyFont="1" applyBorder="1" applyAlignment="1">
      <alignment horizontal="right" vertical="center"/>
    </xf>
    <xf numFmtId="191" fontId="26" fillId="0" borderId="85" xfId="5" applyNumberFormat="1" applyFont="1" applyBorder="1" applyAlignment="1">
      <alignment horizontal="right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76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43" fontId="26" fillId="0" borderId="77" xfId="5" applyFont="1" applyBorder="1" applyAlignment="1">
      <alignment horizontal="right" vertical="center"/>
    </xf>
    <xf numFmtId="43" fontId="26" fillId="0" borderId="78" xfId="5" applyFont="1" applyBorder="1" applyAlignment="1">
      <alignment horizontal="right" vertical="center"/>
    </xf>
    <xf numFmtId="43" fontId="26" fillId="0" borderId="79" xfId="5" applyFont="1" applyBorder="1" applyAlignment="1">
      <alignment horizontal="right" vertical="center"/>
    </xf>
    <xf numFmtId="43" fontId="26" fillId="0" borderId="71" xfId="5" applyFont="1" applyBorder="1" applyAlignment="1">
      <alignment horizontal="right" vertical="center"/>
    </xf>
    <xf numFmtId="43" fontId="26" fillId="0" borderId="72" xfId="5" applyFont="1" applyBorder="1" applyAlignment="1">
      <alignment horizontal="right" vertical="center"/>
    </xf>
    <xf numFmtId="43" fontId="26" fillId="0" borderId="73" xfId="5" applyFont="1" applyBorder="1" applyAlignment="1">
      <alignment horizontal="right" vertical="center"/>
    </xf>
    <xf numFmtId="190" fontId="26" fillId="0" borderId="53" xfId="0" applyNumberFormat="1" applyFont="1" applyBorder="1" applyAlignment="1">
      <alignment horizontal="center" vertical="center"/>
    </xf>
    <xf numFmtId="190" fontId="26" fillId="0" borderId="0" xfId="0" applyNumberFormat="1" applyFont="1" applyAlignment="1">
      <alignment horizontal="center" vertical="center"/>
    </xf>
    <xf numFmtId="190" fontId="26" fillId="0" borderId="51" xfId="0" applyNumberFormat="1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190" fontId="26" fillId="0" borderId="77" xfId="0" applyNumberFormat="1" applyFont="1" applyBorder="1" applyAlignment="1">
      <alignment horizontal="center" vertical="center"/>
    </xf>
    <xf numFmtId="190" fontId="26" fillId="0" borderId="78" xfId="0" applyNumberFormat="1" applyFont="1" applyBorder="1" applyAlignment="1">
      <alignment horizontal="center" vertical="center"/>
    </xf>
    <xf numFmtId="190" fontId="26" fillId="0" borderId="79" xfId="0" applyNumberFormat="1" applyFont="1" applyBorder="1" applyAlignment="1">
      <alignment horizontal="center" vertical="center"/>
    </xf>
    <xf numFmtId="43" fontId="26" fillId="0" borderId="66" xfId="5" applyFont="1" applyBorder="1" applyAlignment="1">
      <alignment horizontal="right" vertical="center"/>
    </xf>
    <xf numFmtId="43" fontId="26" fillId="0" borderId="67" xfId="5" applyFont="1" applyBorder="1" applyAlignment="1">
      <alignment horizontal="right" vertical="center"/>
    </xf>
    <xf numFmtId="43" fontId="26" fillId="0" borderId="85" xfId="5" applyFont="1" applyBorder="1" applyAlignment="1">
      <alignment horizontal="right" vertical="center"/>
    </xf>
    <xf numFmtId="43" fontId="26" fillId="0" borderId="88" xfId="5" applyFont="1" applyBorder="1" applyAlignment="1">
      <alignment horizontal="right" vertical="center"/>
    </xf>
    <xf numFmtId="191" fontId="15" fillId="0" borderId="67" xfId="5" applyNumberFormat="1" applyFont="1" applyBorder="1" applyAlignment="1">
      <alignment horizontal="center" vertical="center"/>
    </xf>
    <xf numFmtId="190" fontId="26" fillId="0" borderId="71" xfId="0" applyNumberFormat="1" applyFont="1" applyBorder="1" applyAlignment="1">
      <alignment horizontal="center" vertical="center"/>
    </xf>
    <xf numFmtId="190" fontId="26" fillId="0" borderId="72" xfId="0" applyNumberFormat="1" applyFont="1" applyBorder="1" applyAlignment="1">
      <alignment horizontal="center" vertical="center"/>
    </xf>
    <xf numFmtId="190" fontId="26" fillId="0" borderId="73" xfId="0" applyNumberFormat="1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43" fontId="26" fillId="0" borderId="66" xfId="5" applyFont="1" applyBorder="1" applyAlignment="1">
      <alignment horizontal="center" vertical="center"/>
    </xf>
    <xf numFmtId="43" fontId="26" fillId="0" borderId="67" xfId="5" applyFont="1" applyBorder="1" applyAlignment="1">
      <alignment horizontal="center" vertical="center"/>
    </xf>
    <xf numFmtId="43" fontId="26" fillId="0" borderId="68" xfId="5" applyFont="1" applyBorder="1" applyAlignment="1">
      <alignment horizontal="center" vertical="center"/>
    </xf>
    <xf numFmtId="0" fontId="0" fillId="0" borderId="61" xfId="0" applyBorder="1" applyAlignment="1" applyProtection="1">
      <alignment horizontal="left" indent="1"/>
      <protection locked="0"/>
    </xf>
    <xf numFmtId="0" fontId="0" fillId="0" borderId="62" xfId="0" applyBorder="1" applyAlignment="1" applyProtection="1">
      <alignment horizontal="left" indent="1"/>
      <protection locked="0"/>
    </xf>
    <xf numFmtId="0" fontId="0" fillId="0" borderId="63" xfId="0" applyBorder="1" applyAlignment="1" applyProtection="1">
      <alignment horizontal="center"/>
      <protection locked="0"/>
    </xf>
    <xf numFmtId="0" fontId="0" fillId="0" borderId="64" xfId="0" applyBorder="1" applyAlignment="1" applyProtection="1">
      <alignment horizontal="center"/>
      <protection locked="0"/>
    </xf>
    <xf numFmtId="0" fontId="4" fillId="13" borderId="36" xfId="0" applyFont="1" applyFill="1" applyBorder="1" applyAlignment="1">
      <alignment horizontal="center"/>
    </xf>
    <xf numFmtId="0" fontId="4" fillId="13" borderId="56" xfId="0" applyFont="1" applyFill="1" applyBorder="1" applyAlignment="1">
      <alignment horizontal="center"/>
    </xf>
    <xf numFmtId="0" fontId="4" fillId="13" borderId="57" xfId="0" applyFont="1" applyFill="1" applyBorder="1" applyAlignment="1">
      <alignment horizontal="center"/>
    </xf>
    <xf numFmtId="0" fontId="2" fillId="0" borderId="13" xfId="0" applyFont="1" applyBorder="1" applyAlignment="1" applyProtection="1">
      <alignment horizontal="left" indent="1"/>
      <protection locked="0"/>
    </xf>
    <xf numFmtId="0" fontId="0" fillId="0" borderId="13" xfId="0" applyBorder="1" applyAlignment="1" applyProtection="1">
      <alignment horizontal="left" indent="1"/>
      <protection locked="0"/>
    </xf>
    <xf numFmtId="0" fontId="2" fillId="0" borderId="58" xfId="0" applyFont="1" applyBorder="1" applyAlignment="1" applyProtection="1">
      <alignment horizontal="left" indent="1"/>
      <protection locked="0"/>
    </xf>
    <xf numFmtId="0" fontId="2" fillId="0" borderId="59" xfId="0" applyFont="1" applyBorder="1" applyAlignment="1" applyProtection="1">
      <alignment horizontal="left" indent="1"/>
      <protection locked="0"/>
    </xf>
    <xf numFmtId="0" fontId="2" fillId="0" borderId="60" xfId="0" applyFont="1" applyBorder="1" applyAlignment="1" applyProtection="1">
      <alignment horizontal="left" indent="1"/>
      <protection locked="0"/>
    </xf>
    <xf numFmtId="0" fontId="2" fillId="0" borderId="39" xfId="0" applyFont="1" applyBorder="1" applyAlignment="1" applyProtection="1">
      <alignment horizontal="left" indent="1"/>
      <protection locked="0"/>
    </xf>
    <xf numFmtId="0" fontId="0" fillId="0" borderId="39" xfId="0" applyBorder="1" applyAlignment="1" applyProtection="1">
      <alignment horizontal="left" indent="1"/>
      <protection locked="0"/>
    </xf>
  </cellXfs>
  <cellStyles count="6">
    <cellStyle name="Comma 2" xfId="1" xr:uid="{00000000-0005-0000-0000-000000000000}"/>
    <cellStyle name="datailColumnTableStyle" xfId="2" xr:uid="{00000000-0005-0000-0000-000001000000}"/>
    <cellStyle name="headerTableStyle" xfId="3" xr:uid="{00000000-0005-0000-0000-000002000000}"/>
    <cellStyle name="Normal 2" xfId="4" xr:uid="{00000000-0005-0000-0000-000004000000}"/>
    <cellStyle name="จุลภาค" xfId="5" builtinId="3"/>
    <cellStyle name="ปกติ" xfId="0" builtinId="0"/>
  </cellStyles>
  <dxfs count="1"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CheckBox" checked="Checked" fmlaLink="$BL$23" lockText="1" noThreeD="1"/>
</file>

<file path=xl/ctrlProps/ctrlProp4.xml><?xml version="1.0" encoding="utf-8"?>
<formControlPr xmlns="http://schemas.microsoft.com/office/spreadsheetml/2009/9/main" objectType="CheckBox" fmlaLink="$BM$23" lockText="1" noThreeD="1"/>
</file>

<file path=xl/ctrlProps/ctrlProp5.xml><?xml version="1.0" encoding="utf-8"?>
<formControlPr xmlns="http://schemas.microsoft.com/office/spreadsheetml/2009/9/main" objectType="CheckBox" fmlaLink="$BN$23" lockText="1" noThreeD="1"/>
</file>

<file path=xl/ctrlProps/ctrlProp6.xml><?xml version="1.0" encoding="utf-8"?>
<formControlPr xmlns="http://schemas.microsoft.com/office/spreadsheetml/2009/9/main" objectType="CheckBox" fmlaLink="$BO$23" lockText="1" noThreeD="1"/>
</file>

<file path=xl/ctrlProps/ctrlProp7.xml><?xml version="1.0" encoding="utf-8"?>
<formControlPr xmlns="http://schemas.microsoft.com/office/spreadsheetml/2009/9/main" objectType="CheckBox" fmlaLink="$BP$23" lockText="1" noThreeD="1"/>
</file>

<file path=xl/ctrlProps/ctrlProp8.xml><?xml version="1.0" encoding="utf-8"?>
<formControlPr xmlns="http://schemas.microsoft.com/office/spreadsheetml/2009/9/main" objectType="CheckBox" fmlaLink="$BQ$23" lockText="1" noThreeD="1"/>
</file>

<file path=xl/ctrlProps/ctrlProp9.xml><?xml version="1.0" encoding="utf-8"?>
<formControlPr xmlns="http://schemas.microsoft.com/office/spreadsheetml/2009/9/main" objectType="CheckBox" fmlaLink="$BR$23" lockText="1" noThreeD="1"/>
</file>

<file path=xl/ctrlProps/ctrlProp10.xml><?xml version="1.0" encoding="utf-8"?>
<formControlPr xmlns="http://schemas.microsoft.com/office/spreadsheetml/2009/9/main" objectType="CheckBox" checked="Checked" fmlaLink="$BL$61" lockText="1" noThreeD="1"/>
</file>

<file path=xl/ctrlProps/ctrlProp11.xml><?xml version="1.0" encoding="utf-8"?>
<formControlPr xmlns="http://schemas.microsoft.com/office/spreadsheetml/2009/9/main" objectType="CheckBox" fmlaLink="$BM$61" lockText="1" noThreeD="1"/>
</file>

<file path=xl/ctrlProps/ctrlProp12.xml><?xml version="1.0" encoding="utf-8"?>
<formControlPr xmlns="http://schemas.microsoft.com/office/spreadsheetml/2009/9/main" objectType="CheckBox" fmlaLink="$BN$61" lockText="1" noThreeD="1"/>
</file>

<file path=xl/ctrlProps/ctrlProp13.xml><?xml version="1.0" encoding="utf-8"?>
<formControlPr xmlns="http://schemas.microsoft.com/office/spreadsheetml/2009/9/main" objectType="CheckBox" fmlaLink="$BO$61" lockText="1" noThreeD="1"/>
</file>

<file path=xl/ctrlProps/ctrlProp14.xml><?xml version="1.0" encoding="utf-8"?>
<formControlPr xmlns="http://schemas.microsoft.com/office/spreadsheetml/2009/9/main" objectType="CheckBox" checked="Checked" fmlaLink="$BL$23" lockText="1" noThreeD="1"/>
</file>

<file path=xl/ctrlProps/ctrlProp15.xml><?xml version="1.0" encoding="utf-8"?>
<formControlPr xmlns="http://schemas.microsoft.com/office/spreadsheetml/2009/9/main" objectType="CheckBox" fmlaLink="$BM$23" lockText="1" noThreeD="1"/>
</file>

<file path=xl/ctrlProps/ctrlProp16.xml><?xml version="1.0" encoding="utf-8"?>
<formControlPr xmlns="http://schemas.microsoft.com/office/spreadsheetml/2009/9/main" objectType="CheckBox" fmlaLink="$BN$23" lockText="1" noThreeD="1"/>
</file>

<file path=xl/ctrlProps/ctrlProp17.xml><?xml version="1.0" encoding="utf-8"?>
<formControlPr xmlns="http://schemas.microsoft.com/office/spreadsheetml/2009/9/main" objectType="CheckBox" fmlaLink="$BO$23" lockText="1" noThreeD="1"/>
</file>

<file path=xl/ctrlProps/ctrlProp18.xml><?xml version="1.0" encoding="utf-8"?>
<formControlPr xmlns="http://schemas.microsoft.com/office/spreadsheetml/2009/9/main" objectType="CheckBox" fmlaLink="$BP$23" lockText="1" noThreeD="1"/>
</file>

<file path=xl/ctrlProps/ctrlProp19.xml><?xml version="1.0" encoding="utf-8"?>
<formControlPr xmlns="http://schemas.microsoft.com/office/spreadsheetml/2009/9/main" objectType="CheckBox" fmlaLink="$BQ$23" lockText="1" noThreeD="1"/>
</file>

<file path=xl/ctrlProps/ctrlProp20.xml><?xml version="1.0" encoding="utf-8"?>
<formControlPr xmlns="http://schemas.microsoft.com/office/spreadsheetml/2009/9/main" objectType="CheckBox" fmlaLink="$BR$23" lockText="1" noThreeD="1"/>
</file>

<file path=xl/ctrlProps/ctrlProp21.xml><?xml version="1.0" encoding="utf-8"?>
<formControlPr xmlns="http://schemas.microsoft.com/office/spreadsheetml/2009/9/main" objectType="CheckBox" checked="Checked" fmlaLink="$BL$61" lockText="1" noThreeD="1"/>
</file>

<file path=xl/ctrlProps/ctrlProp22.xml><?xml version="1.0" encoding="utf-8"?>
<formControlPr xmlns="http://schemas.microsoft.com/office/spreadsheetml/2009/9/main" objectType="CheckBox" fmlaLink="$BM$61" lockText="1" noThreeD="1"/>
</file>

<file path=xl/ctrlProps/ctrlProp23.xml><?xml version="1.0" encoding="utf-8"?>
<formControlPr xmlns="http://schemas.microsoft.com/office/spreadsheetml/2009/9/main" objectType="CheckBox" fmlaLink="$BN$61" lockText="1" noThreeD="1"/>
</file>

<file path=xl/ctrlProps/ctrlProp24.xml><?xml version="1.0" encoding="utf-8"?>
<formControlPr xmlns="http://schemas.microsoft.com/office/spreadsheetml/2009/9/main" objectType="CheckBox" fmlaLink="$BO$61" lockText="1" noThreeD="1"/>
</file>

<file path=xl/ctrlProps/ctrlProp25.xml><?xml version="1.0" encoding="utf-8"?>
<formControlPr xmlns="http://schemas.microsoft.com/office/spreadsheetml/2009/9/main" objectType="CheckBox" fmlaLink="$BM$23" lockText="1" noThreeD="1"/>
</file>

<file path=xl/ctrlProps/ctrlProp26.xml><?xml version="1.0" encoding="utf-8"?>
<formControlPr xmlns="http://schemas.microsoft.com/office/spreadsheetml/2009/9/main" objectType="CheckBox" fmlaLink="$BM$23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2297</xdr:colOff>
      <xdr:row>0</xdr:row>
      <xdr:rowOff>7435</xdr:rowOff>
    </xdr:from>
    <xdr:ext cx="3967433" cy="54803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297" y="7435"/>
          <a:ext cx="3967433" cy="548035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r>
            <a:rPr lang="th-TH" sz="2800" b="1" cap="none" spc="50">
              <a:ln w="11430"/>
              <a:gradFill>
                <a:gsLst>
                  <a:gs pos="25000">
                    <a:schemeClr val="accent2">
                      <a:satMod val="155000"/>
                    </a:schemeClr>
                  </a:gs>
                  <a:gs pos="100000">
                    <a:schemeClr val="accent2">
                      <a:shade val="45000"/>
                      <a:satMod val="165000"/>
                    </a:schemeClr>
                  </a:gs>
                </a:gsLst>
                <a:lin ang="5400000"/>
              </a:gra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</a:rPr>
            <a:t>บันทึกภาษีหัก ณ ที่จ่าย</a:t>
          </a:r>
          <a:endParaRPr lang="en-US" sz="28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57150</xdr:colOff>
          <xdr:row>14</xdr:row>
          <xdr:rowOff>66675</xdr:rowOff>
        </xdr:from>
        <xdr:to>
          <xdr:col>4</xdr:col>
          <xdr:colOff>895350</xdr:colOff>
          <xdr:row>14</xdr:row>
          <xdr:rowOff>333375</xdr:rowOff>
        </xdr:to>
        <xdr:sp macro="" textlink="">
          <xdr:nvSpPr>
            <xdr:cNvPr id="40966" name="Button 6" hidden="1">
              <a:extLst>
                <a:ext uri="{63B3BB69-23CF-44E3-9099-C40C66FF867C}">
                  <a14:compatExt spid="_x0000_s40966"/>
                </a:ext>
                <a:ext uri="{FF2B5EF4-FFF2-40B4-BE49-F238E27FC236}">
                  <a16:creationId xmlns:a16="http://schemas.microsoft.com/office/drawing/2014/main" id="{00000000-0008-0000-0000-000006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50292" rIns="27432" bIns="50292" anchor="ctr" upright="1"/>
            <a:lstStyle/>
            <a:p>
              <a:pPr algn="ctr" rtl="0">
                <a:defRPr sz="1000"/>
              </a:pPr>
              <a:r>
                <a:rPr lang="th-TH" sz="1400" b="0" i="0" u="none" strike="noStrike" baseline="0">
                  <a:solidFill>
                    <a:srgbClr val="000000"/>
                  </a:solidFill>
                  <a:latin typeface="Cordia New"/>
                  <a:cs typeface="Cordia New"/>
                </a:rPr>
                <a:t>บันทึก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57150</xdr:colOff>
          <xdr:row>14</xdr:row>
          <xdr:rowOff>66675</xdr:rowOff>
        </xdr:from>
        <xdr:to>
          <xdr:col>5</xdr:col>
          <xdr:colOff>895350</xdr:colOff>
          <xdr:row>14</xdr:row>
          <xdr:rowOff>333375</xdr:rowOff>
        </xdr:to>
        <xdr:sp macro="" textlink="">
          <xdr:nvSpPr>
            <xdr:cNvPr id="40967" name="Button 7" hidden="1">
              <a:extLst>
                <a:ext uri="{63B3BB69-23CF-44E3-9099-C40C66FF867C}">
                  <a14:compatExt spid="_x0000_s40967"/>
                </a:ext>
                <a:ext uri="{FF2B5EF4-FFF2-40B4-BE49-F238E27FC236}">
                  <a16:creationId xmlns:a16="http://schemas.microsoft.com/office/drawing/2014/main" id="{00000000-0008-0000-0000-000007A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50292" rIns="27432" bIns="50292" anchor="ctr" upright="1"/>
            <a:lstStyle/>
            <a:p>
              <a:pPr algn="ctr" rtl="0">
                <a:defRPr sz="1000"/>
              </a:pPr>
              <a:r>
                <a:rPr lang="th-TH" sz="1400" b="0" i="0" u="none" strike="noStrike" baseline="0">
                  <a:solidFill>
                    <a:srgbClr val="000000"/>
                  </a:solidFill>
                  <a:latin typeface="Cordia New"/>
                  <a:cs typeface="Cordia New"/>
                </a:rPr>
                <a:t>ยกเลิก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90</xdr:col>
      <xdr:colOff>58980</xdr:colOff>
      <xdr:row>8</xdr:row>
      <xdr:rowOff>41910</xdr:rowOff>
    </xdr:from>
    <xdr:to>
      <xdr:col>113</xdr:col>
      <xdr:colOff>28500</xdr:colOff>
      <xdr:row>31</xdr:row>
      <xdr:rowOff>27987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151920" y="1169670"/>
          <a:ext cx="2423160" cy="343031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th-TH" sz="1100" u="sng">
              <a:solidFill>
                <a:srgbClr val="C00000"/>
              </a:solidFill>
            </a:rPr>
            <a:t>คำแนะนำการใช้งาน</a:t>
          </a:r>
        </a:p>
        <a:p>
          <a:pPr>
            <a:lnSpc>
              <a:spcPts val="1200"/>
            </a:lnSpc>
          </a:pPr>
          <a:endParaRPr lang="th-TH" sz="1100"/>
        </a:p>
        <a:p>
          <a:r>
            <a:rPr lang="en-US" sz="1100"/>
            <a:t>1. </a:t>
          </a:r>
          <a:r>
            <a:rPr lang="th-TH" sz="1100"/>
            <a:t>ตรวจสอบ ชื่อ-ที่อยู่ ของบริษัทฯ</a:t>
          </a:r>
          <a:r>
            <a:rPr lang="th-TH" sz="1100" baseline="0"/>
            <a:t> ที่มีหน้าที่หักภาษี ณ ที่จ่าย ให้ถูกต้อง </a:t>
          </a:r>
          <a:r>
            <a:rPr lang="th-TH" sz="1100" baseline="0">
              <a:solidFill>
                <a:srgbClr val="C00000"/>
              </a:solidFill>
            </a:rPr>
            <a:t>(ถ้าไม่ถูกต้อง ให้ไปแก้ไขที่ชีท </a:t>
          </a:r>
          <a:r>
            <a:rPr lang="en-US" sz="1100" baseline="0">
              <a:solidFill>
                <a:srgbClr val="C00000"/>
              </a:solidFill>
            </a:rPr>
            <a:t>WHT_Config)</a:t>
          </a:r>
          <a:endParaRPr lang="th-TH" sz="1100" baseline="0">
            <a:solidFill>
              <a:srgbClr val="C00000"/>
            </a:solidFill>
          </a:endParaRPr>
        </a:p>
        <a:p>
          <a:pPr>
            <a:lnSpc>
              <a:spcPts val="1200"/>
            </a:lnSpc>
          </a:pPr>
          <a:endParaRPr lang="en-US" sz="1100" baseline="0"/>
        </a:p>
        <a:p>
          <a:pPr>
            <a:lnSpc>
              <a:spcPts val="1300"/>
            </a:lnSpc>
          </a:pPr>
          <a:r>
            <a:rPr lang="en-US" sz="1100" baseline="0"/>
            <a:t>2. </a:t>
          </a:r>
          <a:r>
            <a:rPr lang="th-TH" sz="1100" baseline="0"/>
            <a:t>เพื่อเป็นกรองเลขที่เอกสารให้สะดวกในการเลือกพิมพ์ ให้คลิก</a:t>
          </a:r>
          <a:endParaRPr lang="en-US" sz="1100" baseline="0"/>
        </a:p>
        <a:p>
          <a:pPr>
            <a:lnSpc>
              <a:spcPts val="1300"/>
            </a:lnSpc>
          </a:pPr>
          <a:r>
            <a:rPr lang="en-US" sz="1100" baseline="0"/>
            <a:t>     2.1</a:t>
          </a:r>
          <a:r>
            <a:rPr lang="th-TH" sz="1100" baseline="0"/>
            <a:t>)</a:t>
          </a:r>
          <a:r>
            <a:rPr lang="en-US" sz="1100" baseline="0"/>
            <a:t> </a:t>
          </a:r>
          <a:r>
            <a:rPr lang="th-TH" sz="1100" baseline="0"/>
            <a:t>พิมพ์</a:t>
          </a:r>
          <a:r>
            <a:rPr lang="th-TH" sz="1100" u="sng" baseline="0">
              <a:solidFill>
                <a:srgbClr val="C00000"/>
              </a:solidFill>
            </a:rPr>
            <a:t>ปี</a:t>
          </a:r>
          <a:r>
            <a:rPr lang="th-TH" sz="1100" u="none" baseline="0">
              <a:solidFill>
                <a:srgbClr val="C00000"/>
              </a:solidFill>
            </a:rPr>
            <a:t> (คศ.)</a:t>
          </a:r>
          <a:endParaRPr lang="en-US" sz="1100" u="none" baseline="0">
            <a:solidFill>
              <a:srgbClr val="C00000"/>
            </a:solidFill>
          </a:endParaRPr>
        </a:p>
        <a:p>
          <a:pPr>
            <a:lnSpc>
              <a:spcPts val="1100"/>
            </a:lnSpc>
          </a:pPr>
          <a:r>
            <a:rPr lang="en-US" sz="1100" u="none" baseline="0">
              <a:solidFill>
                <a:sysClr val="windowText" lastClr="000000"/>
              </a:solidFill>
            </a:rPr>
            <a:t>     2.2</a:t>
          </a:r>
          <a:r>
            <a:rPr lang="th-TH" sz="1100" u="none" baseline="0">
              <a:solidFill>
                <a:sysClr val="windowText" lastClr="000000"/>
              </a:solidFill>
            </a:rPr>
            <a:t>)</a:t>
          </a:r>
          <a:r>
            <a:rPr lang="en-US" sz="1100" u="none" baseline="0">
              <a:solidFill>
                <a:sysClr val="windowText" lastClr="000000"/>
              </a:solidFill>
            </a:rPr>
            <a:t> </a:t>
          </a:r>
          <a:r>
            <a:rPr lang="th-TH" sz="1100" u="none" baseline="0">
              <a:solidFill>
                <a:sysClr val="windowText" lastClr="000000"/>
              </a:solidFill>
            </a:rPr>
            <a:t>คลิกเลือก</a:t>
          </a:r>
          <a:r>
            <a:rPr lang="th-TH" sz="1100" u="sng" baseline="0">
              <a:solidFill>
                <a:srgbClr val="C00000"/>
              </a:solidFill>
            </a:rPr>
            <a:t>เดือน</a:t>
          </a:r>
          <a:r>
            <a:rPr lang="th-TH" sz="1100" baseline="0"/>
            <a:t>ที่ต้องการ</a:t>
          </a:r>
          <a:endParaRPr lang="en-US" sz="1100" baseline="0"/>
        </a:p>
        <a:p>
          <a:r>
            <a:rPr lang="en-US" sz="1100" baseline="0"/>
            <a:t>   </a:t>
          </a:r>
          <a:r>
            <a:rPr lang="th-TH" sz="1100" baseline="0"/>
            <a:t> </a:t>
          </a:r>
          <a:r>
            <a:rPr lang="en-US" sz="1100" baseline="0"/>
            <a:t>2.3</a:t>
          </a:r>
          <a:r>
            <a:rPr lang="th-TH" sz="1100" baseline="0"/>
            <a:t>)</a:t>
          </a:r>
          <a:r>
            <a:rPr lang="en-US" sz="1100" baseline="0"/>
            <a:t> </a:t>
          </a:r>
          <a:r>
            <a:rPr lang="th-TH" sz="1100" baseline="0"/>
            <a:t>คลิกเลือก </a:t>
          </a:r>
          <a:r>
            <a:rPr lang="th-TH" sz="1100" u="sng" baseline="0">
              <a:solidFill>
                <a:srgbClr val="C00000"/>
              </a:solidFill>
            </a:rPr>
            <a:t>เลขที่เอกสาร</a:t>
          </a:r>
          <a:r>
            <a:rPr lang="th-TH" sz="1100" baseline="0"/>
            <a:t>ที่ต้องการ</a:t>
          </a:r>
        </a:p>
        <a:p>
          <a:pPr>
            <a:lnSpc>
              <a:spcPts val="1200"/>
            </a:lnSpc>
          </a:pPr>
          <a:endParaRPr lang="th-TH" sz="1100" baseline="0"/>
        </a:p>
        <a:p>
          <a:pPr>
            <a:lnSpc>
              <a:spcPts val="1200"/>
            </a:lnSpc>
          </a:pPr>
          <a:r>
            <a:rPr lang="en-US" sz="1100" baseline="0"/>
            <a:t>3. </a:t>
          </a:r>
          <a:r>
            <a:rPr lang="th-TH" sz="1100" baseline="0"/>
            <a:t>สั่งพิมพ์เอกสารตามปกติ ใช้กระดาษ </a:t>
          </a:r>
          <a:r>
            <a:rPr lang="en-US" sz="1100" baseline="0"/>
            <a:t>A4 </a:t>
          </a:r>
          <a:r>
            <a:rPr lang="th-TH" sz="1100" baseline="0"/>
            <a:t>จะได้เอกสารออกมา </a:t>
          </a:r>
          <a:r>
            <a:rPr lang="en-US" sz="1100" baseline="0"/>
            <a:t>2 </a:t>
          </a:r>
          <a:r>
            <a:rPr lang="th-TH" sz="1100" baseline="0"/>
            <a:t>แผ่น</a:t>
          </a:r>
        </a:p>
        <a:p>
          <a:pPr>
            <a:lnSpc>
              <a:spcPts val="1100"/>
            </a:lnSpc>
          </a:pPr>
          <a:endParaRPr lang="th-TH" sz="1100" baseline="0"/>
        </a:p>
        <a:p>
          <a:r>
            <a:rPr lang="en-US" sz="1100" baseline="0"/>
            <a:t>4. </a:t>
          </a:r>
          <a:r>
            <a:rPr lang="th-TH" sz="1100" baseline="0"/>
            <a:t>กรณีแบบฟอร์มออกมาไม่พอดีกับกระดาษ ให้ไปทำการปรับการตั้งค่าขอบกระดาษ ของเครื่องพิมพ์รุ่นที่ใช้</a:t>
          </a:r>
          <a:endParaRPr lang="th-TH" sz="1100"/>
        </a:p>
      </xdr:txBody>
    </xdr:sp>
    <xdr:clientData fPrintsWithSheet="0"/>
  </xdr:twoCellAnchor>
  <xdr:twoCellAnchor editAs="oneCell">
    <xdr:from>
      <xdr:col>80</xdr:col>
      <xdr:colOff>0</xdr:colOff>
      <xdr:row>0</xdr:row>
      <xdr:rowOff>38100</xdr:rowOff>
    </xdr:from>
    <xdr:to>
      <xdr:col>83</xdr:col>
      <xdr:colOff>68580</xdr:colOff>
      <xdr:row>3</xdr:row>
      <xdr:rowOff>7620</xdr:rowOff>
    </xdr:to>
    <xdr:grpSp>
      <xdr:nvGrpSpPr>
        <xdr:cNvPr id="226849" name="Group 4">
          <a:extLst>
            <a:ext uri="{FF2B5EF4-FFF2-40B4-BE49-F238E27FC236}">
              <a16:creationId xmlns:a16="http://schemas.microsoft.com/office/drawing/2014/main" id="{00000000-0008-0000-0200-000021760300}"/>
            </a:ext>
          </a:extLst>
        </xdr:cNvPr>
        <xdr:cNvGrpSpPr>
          <a:grpSpLocks/>
        </xdr:cNvGrpSpPr>
      </xdr:nvGrpSpPr>
      <xdr:grpSpPr bwMode="auto">
        <a:xfrm>
          <a:off x="12023481" y="38100"/>
          <a:ext cx="420272" cy="328539"/>
          <a:chOff x="9010650" y="161925"/>
          <a:chExt cx="419100" cy="333375"/>
        </a:xfrm>
      </xdr:grpSpPr>
      <xdr:sp macro="" textlink="">
        <xdr:nvSpPr>
          <xdr:cNvPr id="226856" name="Left Arrow 2">
            <a:extLst>
              <a:ext uri="{FF2B5EF4-FFF2-40B4-BE49-F238E27FC236}">
                <a16:creationId xmlns:a16="http://schemas.microsoft.com/office/drawing/2014/main" id="{00000000-0008-0000-0200-000028760300}"/>
              </a:ext>
            </a:extLst>
          </xdr:cNvPr>
          <xdr:cNvSpPr>
            <a:spLocks noChangeArrowheads="1"/>
          </xdr:cNvSpPr>
        </xdr:nvSpPr>
        <xdr:spPr bwMode="auto">
          <a:xfrm rot="-2125312">
            <a:off x="9010650" y="323850"/>
            <a:ext cx="295275" cy="17145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C000"/>
          </a:solidFill>
          <a:ln w="9525" algn="ctr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9150350" y="161925"/>
            <a:ext cx="279400" cy="279105"/>
          </a:xfrm>
          <a:prstGeom prst="ellipse">
            <a:avLst/>
          </a:prstGeom>
          <a:solidFill>
            <a:schemeClr val="accent5">
              <a:lumMod val="20000"/>
              <a:lumOff val="80000"/>
            </a:schemeClr>
          </a:solidFill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 b="1">
                <a:solidFill>
                  <a:srgbClr val="FF0000"/>
                </a:solidFill>
              </a:rPr>
              <a:t>1</a:t>
            </a:r>
          </a:p>
        </xdr:txBody>
      </xdr:sp>
    </xdr:grpSp>
    <xdr:clientData fPrintsWithSheet="0"/>
  </xdr:twoCellAnchor>
  <xdr:twoCellAnchor editAs="oneCell">
    <xdr:from>
      <xdr:col>83</xdr:col>
      <xdr:colOff>83820</xdr:colOff>
      <xdr:row>1</xdr:row>
      <xdr:rowOff>83820</xdr:rowOff>
    </xdr:from>
    <xdr:to>
      <xdr:col>87</xdr:col>
      <xdr:colOff>45720</xdr:colOff>
      <xdr:row>3</xdr:row>
      <xdr:rowOff>220980</xdr:rowOff>
    </xdr:to>
    <xdr:grpSp>
      <xdr:nvGrpSpPr>
        <xdr:cNvPr id="226850" name="Group 31">
          <a:extLst>
            <a:ext uri="{FF2B5EF4-FFF2-40B4-BE49-F238E27FC236}">
              <a16:creationId xmlns:a16="http://schemas.microsoft.com/office/drawing/2014/main" id="{00000000-0008-0000-0200-000022760300}"/>
            </a:ext>
          </a:extLst>
        </xdr:cNvPr>
        <xdr:cNvGrpSpPr>
          <a:grpSpLocks/>
        </xdr:cNvGrpSpPr>
      </xdr:nvGrpSpPr>
      <xdr:grpSpPr bwMode="auto">
        <a:xfrm>
          <a:off x="12458993" y="245012"/>
          <a:ext cx="430823" cy="334987"/>
          <a:chOff x="9010650" y="161925"/>
          <a:chExt cx="419100" cy="333375"/>
        </a:xfrm>
      </xdr:grpSpPr>
      <xdr:sp macro="" textlink="">
        <xdr:nvSpPr>
          <xdr:cNvPr id="226854" name="Left Arrow 32">
            <a:extLst>
              <a:ext uri="{FF2B5EF4-FFF2-40B4-BE49-F238E27FC236}">
                <a16:creationId xmlns:a16="http://schemas.microsoft.com/office/drawing/2014/main" id="{00000000-0008-0000-0200-000026760300}"/>
              </a:ext>
            </a:extLst>
          </xdr:cNvPr>
          <xdr:cNvSpPr>
            <a:spLocks noChangeArrowheads="1"/>
          </xdr:cNvSpPr>
        </xdr:nvSpPr>
        <xdr:spPr bwMode="auto">
          <a:xfrm rot="-2125312">
            <a:off x="9010650" y="323850"/>
            <a:ext cx="295275" cy="17145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C000"/>
          </a:solidFill>
          <a:ln w="9525" algn="ctr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34" name="Oval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 bwMode="auto">
          <a:xfrm>
            <a:off x="9150350" y="161925"/>
            <a:ext cx="279400" cy="272761"/>
          </a:xfrm>
          <a:prstGeom prst="ellipse">
            <a:avLst/>
          </a:prstGeom>
          <a:solidFill>
            <a:schemeClr val="accent5">
              <a:lumMod val="20000"/>
              <a:lumOff val="80000"/>
            </a:schemeClr>
          </a:solidFill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 b="1">
                <a:solidFill>
                  <a:srgbClr val="FF0000"/>
                </a:solidFill>
              </a:rPr>
              <a:t>2</a:t>
            </a:r>
          </a:p>
        </xdr:txBody>
      </xdr:sp>
    </xdr:grpSp>
    <xdr:clientData fPrintsWithSheet="0"/>
  </xdr:twoCellAnchor>
  <xdr:twoCellAnchor editAs="absolute">
    <xdr:from>
      <xdr:col>59</xdr:col>
      <xdr:colOff>53340</xdr:colOff>
      <xdr:row>1</xdr:row>
      <xdr:rowOff>53340</xdr:rowOff>
    </xdr:from>
    <xdr:to>
      <xdr:col>63</xdr:col>
      <xdr:colOff>100</xdr:colOff>
      <xdr:row>3</xdr:row>
      <xdr:rowOff>190500</xdr:rowOff>
    </xdr:to>
    <xdr:grpSp>
      <xdr:nvGrpSpPr>
        <xdr:cNvPr id="226851" name="Group 34">
          <a:extLst>
            <a:ext uri="{FF2B5EF4-FFF2-40B4-BE49-F238E27FC236}">
              <a16:creationId xmlns:a16="http://schemas.microsoft.com/office/drawing/2014/main" id="{00000000-0008-0000-0200-000023760300}"/>
            </a:ext>
          </a:extLst>
        </xdr:cNvPr>
        <xdr:cNvGrpSpPr>
          <a:grpSpLocks/>
        </xdr:cNvGrpSpPr>
      </xdr:nvGrpSpPr>
      <xdr:grpSpPr bwMode="auto">
        <a:xfrm>
          <a:off x="7394917" y="214532"/>
          <a:ext cx="423010" cy="334987"/>
          <a:chOff x="9010650" y="161925"/>
          <a:chExt cx="419100" cy="333375"/>
        </a:xfrm>
      </xdr:grpSpPr>
      <xdr:sp macro="" textlink="">
        <xdr:nvSpPr>
          <xdr:cNvPr id="226852" name="Left Arrow 35">
            <a:extLst>
              <a:ext uri="{FF2B5EF4-FFF2-40B4-BE49-F238E27FC236}">
                <a16:creationId xmlns:a16="http://schemas.microsoft.com/office/drawing/2014/main" id="{00000000-0008-0000-0200-000024760300}"/>
              </a:ext>
            </a:extLst>
          </xdr:cNvPr>
          <xdr:cNvSpPr>
            <a:spLocks noChangeArrowheads="1"/>
          </xdr:cNvSpPr>
        </xdr:nvSpPr>
        <xdr:spPr bwMode="auto">
          <a:xfrm rot="-2125312">
            <a:off x="9010650" y="323850"/>
            <a:ext cx="295275" cy="171450"/>
          </a:xfrm>
          <a:prstGeom prst="leftArrow">
            <a:avLst>
              <a:gd name="adj1" fmla="val 50000"/>
              <a:gd name="adj2" fmla="val 50000"/>
            </a:avLst>
          </a:prstGeom>
          <a:solidFill>
            <a:srgbClr val="FFC000"/>
          </a:solidFill>
          <a:ln w="9525" algn="ctr">
            <a:solidFill>
              <a:srgbClr val="FF0000"/>
            </a:solidFill>
            <a:round/>
            <a:headEnd/>
            <a:tailEnd/>
          </a:ln>
        </xdr:spPr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/>
        </xdr:nvSpPr>
        <xdr:spPr bwMode="auto">
          <a:xfrm>
            <a:off x="9153144" y="161925"/>
            <a:ext cx="276606" cy="272761"/>
          </a:xfrm>
          <a:prstGeom prst="ellipse">
            <a:avLst/>
          </a:prstGeom>
          <a:solidFill>
            <a:schemeClr val="accent5">
              <a:lumMod val="20000"/>
              <a:lumOff val="80000"/>
            </a:schemeClr>
          </a:solidFill>
          <a:ln w="952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en-US" sz="1100" b="1">
                <a:solidFill>
                  <a:srgbClr val="FF0000"/>
                </a:solidFill>
              </a:rPr>
              <a:t>3</a:t>
            </a:r>
          </a:p>
        </xdr:txBody>
      </xdr:sp>
    </xdr:grp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22</xdr:row>
          <xdr:rowOff>0</xdr:rowOff>
        </xdr:from>
        <xdr:to>
          <xdr:col>23</xdr:col>
          <xdr:colOff>104775</xdr:colOff>
          <xdr:row>22</xdr:row>
          <xdr:rowOff>180975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1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22</xdr:row>
          <xdr:rowOff>9525</xdr:rowOff>
        </xdr:from>
        <xdr:to>
          <xdr:col>32</xdr:col>
          <xdr:colOff>66675</xdr:colOff>
          <xdr:row>22</xdr:row>
          <xdr:rowOff>190500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1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0</xdr:colOff>
          <xdr:row>22</xdr:row>
          <xdr:rowOff>38100</xdr:rowOff>
        </xdr:from>
        <xdr:to>
          <xdr:col>42</xdr:col>
          <xdr:colOff>66675</xdr:colOff>
          <xdr:row>23</xdr:row>
          <xdr:rowOff>9525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1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50</xdr:col>
          <xdr:colOff>38100</xdr:colOff>
          <xdr:row>22</xdr:row>
          <xdr:rowOff>9525</xdr:rowOff>
        </xdr:from>
        <xdr:to>
          <xdr:col>51</xdr:col>
          <xdr:colOff>95250</xdr:colOff>
          <xdr:row>22</xdr:row>
          <xdr:rowOff>171450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1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24</xdr:row>
          <xdr:rowOff>0</xdr:rowOff>
        </xdr:from>
        <xdr:to>
          <xdr:col>23</xdr:col>
          <xdr:colOff>104775</xdr:colOff>
          <xdr:row>25</xdr:row>
          <xdr:rowOff>47625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1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24</xdr:row>
          <xdr:rowOff>0</xdr:rowOff>
        </xdr:from>
        <xdr:to>
          <xdr:col>32</xdr:col>
          <xdr:colOff>66675</xdr:colOff>
          <xdr:row>25</xdr:row>
          <xdr:rowOff>38100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1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0</xdr:colOff>
          <xdr:row>24</xdr:row>
          <xdr:rowOff>28575</xdr:rowOff>
        </xdr:from>
        <xdr:to>
          <xdr:col>42</xdr:col>
          <xdr:colOff>66675</xdr:colOff>
          <xdr:row>25</xdr:row>
          <xdr:rowOff>85725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1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60</xdr:row>
          <xdr:rowOff>66675</xdr:rowOff>
        </xdr:from>
        <xdr:to>
          <xdr:col>8</xdr:col>
          <xdr:colOff>85725</xdr:colOff>
          <xdr:row>60</xdr:row>
          <xdr:rowOff>180975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1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60</xdr:row>
          <xdr:rowOff>66675</xdr:rowOff>
        </xdr:from>
        <xdr:to>
          <xdr:col>18</xdr:col>
          <xdr:colOff>57150</xdr:colOff>
          <xdr:row>60</xdr:row>
          <xdr:rowOff>190500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1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95250</xdr:colOff>
          <xdr:row>60</xdr:row>
          <xdr:rowOff>66675</xdr:rowOff>
        </xdr:from>
        <xdr:to>
          <xdr:col>29</xdr:col>
          <xdr:colOff>57150</xdr:colOff>
          <xdr:row>60</xdr:row>
          <xdr:rowOff>190500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1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57150</xdr:colOff>
          <xdr:row>60</xdr:row>
          <xdr:rowOff>57150</xdr:rowOff>
        </xdr:from>
        <xdr:to>
          <xdr:col>40</xdr:col>
          <xdr:colOff>0</xdr:colOff>
          <xdr:row>60</xdr:row>
          <xdr:rowOff>200025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1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96</xdr:row>
          <xdr:rowOff>9525</xdr:rowOff>
        </xdr:from>
        <xdr:to>
          <xdr:col>21</xdr:col>
          <xdr:colOff>95250</xdr:colOff>
          <xdr:row>97</xdr:row>
          <xdr:rowOff>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1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95250</xdr:colOff>
          <xdr:row>96</xdr:row>
          <xdr:rowOff>38100</xdr:rowOff>
        </xdr:from>
        <xdr:to>
          <xdr:col>32</xdr:col>
          <xdr:colOff>38100</xdr:colOff>
          <xdr:row>97</xdr:row>
          <xdr:rowOff>28575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1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57150</xdr:colOff>
          <xdr:row>96</xdr:row>
          <xdr:rowOff>47625</xdr:rowOff>
        </xdr:from>
        <xdr:to>
          <xdr:col>42</xdr:col>
          <xdr:colOff>19050</xdr:colOff>
          <xdr:row>97</xdr:row>
          <xdr:rowOff>38100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1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104775</xdr:colOff>
          <xdr:row>95</xdr:row>
          <xdr:rowOff>38100</xdr:rowOff>
        </xdr:from>
        <xdr:to>
          <xdr:col>51</xdr:col>
          <xdr:colOff>57150</xdr:colOff>
          <xdr:row>96</xdr:row>
          <xdr:rowOff>171450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1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38100</xdr:colOff>
          <xdr:row>98</xdr:row>
          <xdr:rowOff>0</xdr:rowOff>
        </xdr:from>
        <xdr:to>
          <xdr:col>21</xdr:col>
          <xdr:colOff>95250</xdr:colOff>
          <xdr:row>99</xdr:row>
          <xdr:rowOff>38100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1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95250</xdr:colOff>
          <xdr:row>98</xdr:row>
          <xdr:rowOff>28575</xdr:rowOff>
        </xdr:from>
        <xdr:to>
          <xdr:col>32</xdr:col>
          <xdr:colOff>38100</xdr:colOff>
          <xdr:row>99</xdr:row>
          <xdr:rowOff>66675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1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57150</xdr:colOff>
          <xdr:row>98</xdr:row>
          <xdr:rowOff>38100</xdr:rowOff>
        </xdr:from>
        <xdr:to>
          <xdr:col>42</xdr:col>
          <xdr:colOff>19050</xdr:colOff>
          <xdr:row>99</xdr:row>
          <xdr:rowOff>85725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1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134</xdr:row>
          <xdr:rowOff>38100</xdr:rowOff>
        </xdr:from>
        <xdr:to>
          <xdr:col>8</xdr:col>
          <xdr:colOff>95250</xdr:colOff>
          <xdr:row>134</xdr:row>
          <xdr:rowOff>209550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1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134</xdr:row>
          <xdr:rowOff>38100</xdr:rowOff>
        </xdr:from>
        <xdr:to>
          <xdr:col>18</xdr:col>
          <xdr:colOff>104775</xdr:colOff>
          <xdr:row>134</xdr:row>
          <xdr:rowOff>219075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1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104775</xdr:colOff>
          <xdr:row>134</xdr:row>
          <xdr:rowOff>38100</xdr:rowOff>
        </xdr:from>
        <xdr:to>
          <xdr:col>29</xdr:col>
          <xdr:colOff>95250</xdr:colOff>
          <xdr:row>134</xdr:row>
          <xdr:rowOff>219075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1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95250</xdr:colOff>
          <xdr:row>134</xdr:row>
          <xdr:rowOff>66675</xdr:rowOff>
        </xdr:from>
        <xdr:to>
          <xdr:col>40</xdr:col>
          <xdr:colOff>57150</xdr:colOff>
          <xdr:row>135</xdr:row>
          <xdr:rowOff>28575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1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9525</xdr:rowOff>
        </xdr:from>
        <xdr:to>
          <xdr:col>1</xdr:col>
          <xdr:colOff>123825</xdr:colOff>
          <xdr:row>1</xdr:row>
          <xdr:rowOff>19050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1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152400</xdr:rowOff>
        </xdr:from>
        <xdr:to>
          <xdr:col>1</xdr:col>
          <xdr:colOff>123825</xdr:colOff>
          <xdr:row>1</xdr:row>
          <xdr:rowOff>161925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1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printerSettings" Target="../printerSettings/printerSettings4.bin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printerSettings" Target="../printerSettings/printerSettings3.bin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vmlDrawing" Target="../drawings/vmlDrawing2.v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drawing" Target="../drawings/drawing2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AF16"/>
  <sheetViews>
    <sheetView showGridLines="0" zoomScale="80" zoomScaleNormal="80" workbookViewId="0">
      <selection activeCell="AH12" sqref="AH12:AH13"/>
    </sheetView>
  </sheetViews>
  <sheetFormatPr defaultRowHeight="21.75" outlineLevelCol="1" x14ac:dyDescent="0.5"/>
  <cols>
    <col min="1" max="1" width="3.7109375" customWidth="1"/>
    <col min="2" max="2" width="9.7109375" customWidth="1"/>
    <col min="3" max="3" width="12.7109375" customWidth="1"/>
    <col min="4" max="4" width="7.7109375" customWidth="1"/>
    <col min="5" max="6" width="15.7109375" customWidth="1"/>
    <col min="7" max="7" width="12.7109375" customWidth="1"/>
    <col min="8" max="8" width="10.7109375" customWidth="1"/>
    <col min="9" max="9" width="12.7109375" customWidth="1"/>
    <col min="10" max="10" width="3.7109375" customWidth="1"/>
    <col min="13" max="13" width="9.7109375" hidden="1" customWidth="1" outlineLevel="1"/>
    <col min="14" max="15" width="6.7109375" hidden="1" customWidth="1" outlineLevel="1"/>
    <col min="16" max="16" width="10.85546875" hidden="1" customWidth="1" outlineLevel="1"/>
    <col min="17" max="17" width="9.28515625" hidden="1" customWidth="1" outlineLevel="1"/>
    <col min="18" max="18" width="10.5703125" hidden="1" customWidth="1" outlineLevel="1"/>
    <col min="19" max="19" width="11.7109375" hidden="1" customWidth="1" outlineLevel="1"/>
    <col min="20" max="20" width="20.7109375" hidden="1" customWidth="1" outlineLevel="1"/>
    <col min="21" max="21" width="16.7109375" hidden="1" customWidth="1" outlineLevel="1"/>
    <col min="22" max="22" width="9.7109375" hidden="1" customWidth="1" outlineLevel="1"/>
    <col min="23" max="23" width="8.7109375" hidden="1" customWidth="1" outlineLevel="1"/>
    <col min="24" max="24" width="9.7109375" hidden="1" customWidth="1" outlineLevel="1"/>
    <col min="25" max="25" width="2.7109375" hidden="1" customWidth="1" outlineLevel="1"/>
    <col min="26" max="26" width="16.7109375" hidden="1" customWidth="1" outlineLevel="1"/>
    <col min="27" max="27" width="9.7109375" hidden="1" customWidth="1" outlineLevel="1"/>
    <col min="28" max="28" width="8.7109375" hidden="1" customWidth="1" outlineLevel="1"/>
    <col min="29" max="29" width="9.7109375" hidden="1" customWidth="1" outlineLevel="1"/>
    <col min="30" max="30" width="2.7109375" hidden="1" customWidth="1" outlineLevel="1"/>
    <col min="31" max="31" width="13.85546875" hidden="1" customWidth="1" outlineLevel="1"/>
    <col min="32" max="32" width="9.140625" customWidth="1" collapsed="1"/>
  </cols>
  <sheetData>
    <row r="1" spans="1:31" s="71" customFormat="1" ht="22.5" thickBot="1" x14ac:dyDescent="0.55000000000000004">
      <c r="A1" s="67"/>
      <c r="B1" s="68"/>
      <c r="C1" s="69"/>
      <c r="D1" s="69"/>
      <c r="E1" s="69"/>
      <c r="F1" s="69"/>
      <c r="G1" s="69"/>
      <c r="H1" s="69"/>
      <c r="I1" s="69"/>
      <c r="J1" s="70"/>
      <c r="M1" s="72"/>
      <c r="N1" s="73"/>
      <c r="O1" s="73"/>
      <c r="P1" s="74"/>
      <c r="Q1" s="75"/>
      <c r="R1" s="76"/>
      <c r="S1" s="73"/>
      <c r="T1" s="77"/>
      <c r="U1" s="78" t="s">
        <v>93</v>
      </c>
      <c r="V1" s="79"/>
      <c r="W1" s="79"/>
      <c r="X1" s="80"/>
      <c r="Y1" s="81"/>
      <c r="Z1" s="66" t="s">
        <v>104</v>
      </c>
      <c r="AA1" s="82"/>
      <c r="AB1" s="82"/>
      <c r="AC1" s="83"/>
      <c r="AD1" s="84"/>
      <c r="AE1" s="85"/>
    </row>
    <row r="2" spans="1:31" ht="22.5" thickBot="1" x14ac:dyDescent="0.55000000000000004">
      <c r="A2" s="53"/>
      <c r="B2" s="58"/>
      <c r="C2" s="58"/>
      <c r="D2" s="58"/>
      <c r="E2" s="58"/>
      <c r="F2" s="58"/>
      <c r="G2" s="24"/>
      <c r="H2" s="32" t="s">
        <v>120</v>
      </c>
      <c r="I2" s="90" t="str">
        <f>IF(ISBLANK(D5),"",TEXT(M3,"BBMM-")&amp;TEXT(SUMPRODUCT(--(WHT_Year=N3),--(WHT_Month=O3))+1,"000"))</f>
        <v/>
      </c>
      <c r="J2" s="50"/>
      <c r="M2" s="33" t="s">
        <v>89</v>
      </c>
      <c r="N2" s="34" t="s">
        <v>88</v>
      </c>
      <c r="O2" s="34" t="s">
        <v>85</v>
      </c>
      <c r="P2" s="35" t="s">
        <v>90</v>
      </c>
      <c r="Q2" s="36" t="s">
        <v>105</v>
      </c>
      <c r="R2" s="37" t="s">
        <v>91</v>
      </c>
      <c r="S2" s="38" t="s">
        <v>96</v>
      </c>
      <c r="T2" s="39" t="s">
        <v>86</v>
      </c>
      <c r="U2" s="7" t="s">
        <v>94</v>
      </c>
      <c r="V2" s="1" t="s">
        <v>92</v>
      </c>
      <c r="W2" s="1" t="s">
        <v>101</v>
      </c>
      <c r="X2" s="2" t="s">
        <v>100</v>
      </c>
      <c r="Y2" s="8"/>
      <c r="Z2" s="9" t="s">
        <v>95</v>
      </c>
      <c r="AA2" s="3" t="s">
        <v>87</v>
      </c>
      <c r="AB2" s="3" t="s">
        <v>102</v>
      </c>
      <c r="AC2" s="4" t="s">
        <v>103</v>
      </c>
      <c r="AD2" s="10"/>
      <c r="AE2" s="5" t="s">
        <v>106</v>
      </c>
    </row>
    <row r="3" spans="1:31" ht="23.25" thickTop="1" thickBot="1" x14ac:dyDescent="0.55000000000000004">
      <c r="A3" s="53"/>
      <c r="B3" s="343" t="s">
        <v>110</v>
      </c>
      <c r="C3" s="344"/>
      <c r="D3" s="345"/>
      <c r="E3" s="58"/>
      <c r="F3" s="58"/>
      <c r="G3" s="58"/>
      <c r="H3" s="58"/>
      <c r="I3" s="58"/>
      <c r="J3" s="50"/>
      <c r="M3" s="13" t="str">
        <f>IF(ISBLANK(D5),"",DATE(B5,MATCH(C5,List_Month,0),D5))</f>
        <v/>
      </c>
      <c r="N3" s="14" t="str">
        <f>IF(ISBLANK(D5),"",YEAR(M3))</f>
        <v/>
      </c>
      <c r="O3" s="14" t="str">
        <f>IF(ISBLANK(D5),"",MONTH(M3))</f>
        <v/>
      </c>
      <c r="P3" s="14">
        <f>I4</f>
        <v>0</v>
      </c>
      <c r="Q3" s="14">
        <f>H5</f>
        <v>0</v>
      </c>
      <c r="R3" s="14" t="str">
        <f>I2</f>
        <v/>
      </c>
      <c r="S3" s="14" t="str">
        <f>IF(ISBLANK(I4),"",SUMPRODUCT(--(WHT_Year=N3),--(WHT_Month=O3),--(WHT_Tax_Type=P3))+1)</f>
        <v/>
      </c>
      <c r="T3" s="15">
        <f>C7</f>
        <v>0</v>
      </c>
      <c r="U3" s="16">
        <f>D8</f>
        <v>0</v>
      </c>
      <c r="V3" s="14">
        <f>G8</f>
        <v>0</v>
      </c>
      <c r="W3" s="14">
        <f>H8</f>
        <v>0</v>
      </c>
      <c r="X3" s="17">
        <f>I8</f>
        <v>0</v>
      </c>
      <c r="Y3" s="6"/>
      <c r="Z3" s="16">
        <f>D9</f>
        <v>0</v>
      </c>
      <c r="AA3" s="14">
        <f>G9</f>
        <v>0</v>
      </c>
      <c r="AB3" s="14">
        <f>H9</f>
        <v>0</v>
      </c>
      <c r="AC3" s="17">
        <f>I9</f>
        <v>0</v>
      </c>
      <c r="AD3" s="6"/>
      <c r="AE3" s="6">
        <f>D12</f>
        <v>0</v>
      </c>
    </row>
    <row r="4" spans="1:31" ht="22.5" thickBot="1" x14ac:dyDescent="0.55000000000000004">
      <c r="A4" s="53"/>
      <c r="B4" s="29" t="s">
        <v>107</v>
      </c>
      <c r="C4" s="30" t="s">
        <v>108</v>
      </c>
      <c r="D4" s="31" t="s">
        <v>109</v>
      </c>
      <c r="E4" s="58"/>
      <c r="F4" s="58"/>
      <c r="G4" s="60" t="s">
        <v>118</v>
      </c>
      <c r="H4" s="61"/>
      <c r="I4" s="62"/>
      <c r="J4" s="50"/>
    </row>
    <row r="5" spans="1:31" ht="22.5" thickBot="1" x14ac:dyDescent="0.55000000000000004">
      <c r="A5" s="53"/>
      <c r="B5" s="26">
        <v>2022</v>
      </c>
      <c r="C5" s="27" t="s">
        <v>98</v>
      </c>
      <c r="D5" s="28"/>
      <c r="E5" s="58"/>
      <c r="F5" s="58"/>
      <c r="G5" s="63" t="s">
        <v>117</v>
      </c>
      <c r="H5" s="339"/>
      <c r="I5" s="340"/>
      <c r="J5" s="50"/>
    </row>
    <row r="6" spans="1:31" s="12" customFormat="1" ht="13.5" thickBot="1" x14ac:dyDescent="0.35">
      <c r="A6" s="54"/>
      <c r="B6" s="57"/>
      <c r="C6" s="57"/>
      <c r="D6" s="57"/>
      <c r="E6" s="57"/>
      <c r="F6" s="57"/>
      <c r="G6" s="57"/>
      <c r="H6" s="57"/>
      <c r="I6" s="57"/>
      <c r="J6" s="51"/>
    </row>
    <row r="7" spans="1:31" x14ac:dyDescent="0.5">
      <c r="A7" s="53"/>
      <c r="B7" s="18" t="s">
        <v>111</v>
      </c>
      <c r="C7" s="346"/>
      <c r="D7" s="347"/>
      <c r="E7" s="347"/>
      <c r="F7" s="347"/>
      <c r="G7" s="19" t="s">
        <v>112</v>
      </c>
      <c r="H7" s="19" t="s">
        <v>113</v>
      </c>
      <c r="I7" s="20" t="s">
        <v>114</v>
      </c>
      <c r="J7" s="50"/>
    </row>
    <row r="8" spans="1:31" x14ac:dyDescent="0.5">
      <c r="A8" s="53"/>
      <c r="B8" s="21" t="s">
        <v>115</v>
      </c>
      <c r="C8" s="11"/>
      <c r="D8" s="348"/>
      <c r="E8" s="349"/>
      <c r="F8" s="350"/>
      <c r="G8" s="86"/>
      <c r="H8" s="87"/>
      <c r="I8" s="91">
        <f>G8*H8</f>
        <v>0</v>
      </c>
      <c r="J8" s="50"/>
    </row>
    <row r="9" spans="1:31" ht="22.5" thickBot="1" x14ac:dyDescent="0.55000000000000004">
      <c r="A9" s="53"/>
      <c r="B9" s="22" t="s">
        <v>116</v>
      </c>
      <c r="C9" s="23"/>
      <c r="D9" s="351"/>
      <c r="E9" s="352"/>
      <c r="F9" s="352"/>
      <c r="G9" s="88"/>
      <c r="H9" s="89"/>
      <c r="I9" s="92">
        <f>G9*H9</f>
        <v>0</v>
      </c>
      <c r="J9" s="50"/>
    </row>
    <row r="10" spans="1:31" s="12" customFormat="1" ht="12.75" x14ac:dyDescent="0.3">
      <c r="A10" s="54"/>
      <c r="B10" s="57"/>
      <c r="C10" s="57"/>
      <c r="D10" s="57"/>
      <c r="E10" s="57"/>
      <c r="F10" s="57"/>
      <c r="G10" s="57"/>
      <c r="H10" s="57"/>
      <c r="I10" s="57"/>
      <c r="J10" s="51"/>
    </row>
    <row r="11" spans="1:31" ht="22.5" thickBot="1" x14ac:dyDescent="0.55000000000000004">
      <c r="A11" s="53"/>
      <c r="B11" s="59" t="s">
        <v>119</v>
      </c>
      <c r="C11" s="49"/>
      <c r="D11" s="49"/>
      <c r="E11" s="49"/>
      <c r="F11" s="49"/>
      <c r="G11" s="49"/>
      <c r="H11" s="49"/>
      <c r="I11" s="49"/>
      <c r="J11" s="50"/>
    </row>
    <row r="12" spans="1:31" ht="22.5" thickBot="1" x14ac:dyDescent="0.55000000000000004">
      <c r="A12" s="53"/>
      <c r="B12" s="24" t="s">
        <v>106</v>
      </c>
      <c r="C12" s="25"/>
      <c r="D12" s="341"/>
      <c r="E12" s="342"/>
      <c r="F12" s="49"/>
      <c r="G12" s="49"/>
      <c r="H12" s="49"/>
      <c r="I12" s="49"/>
      <c r="J12" s="50"/>
    </row>
    <row r="13" spans="1:31" s="12" customFormat="1" ht="13.5" thickBot="1" x14ac:dyDescent="0.35">
      <c r="A13" s="55"/>
      <c r="B13" s="56"/>
      <c r="C13" s="56"/>
      <c r="D13" s="56"/>
      <c r="E13" s="56"/>
      <c r="F13" s="56"/>
      <c r="G13" s="56"/>
      <c r="H13" s="56"/>
      <c r="I13" s="56"/>
      <c r="J13" s="52"/>
    </row>
    <row r="14" spans="1:31" s="12" customFormat="1" ht="12.75" x14ac:dyDescent="0.3">
      <c r="A14" s="43"/>
      <c r="B14" s="44"/>
      <c r="C14" s="44"/>
      <c r="D14" s="44"/>
      <c r="E14" s="44"/>
      <c r="F14" s="44"/>
      <c r="G14" s="44"/>
      <c r="H14" s="44"/>
      <c r="I14" s="44"/>
      <c r="J14" s="45"/>
    </row>
    <row r="15" spans="1:31" s="47" customFormat="1" ht="30.75" x14ac:dyDescent="0.7">
      <c r="A15" s="46"/>
      <c r="E15" s="64"/>
      <c r="F15" s="65"/>
      <c r="J15" s="48"/>
    </row>
    <row r="16" spans="1:31" s="12" customFormat="1" ht="13.5" thickBot="1" x14ac:dyDescent="0.35">
      <c r="A16" s="40"/>
      <c r="B16" s="41"/>
      <c r="C16" s="41"/>
      <c r="D16" s="41"/>
      <c r="E16" s="41"/>
      <c r="F16" s="41"/>
      <c r="G16" s="41"/>
      <c r="H16" s="41"/>
      <c r="I16" s="41"/>
      <c r="J16" s="42"/>
    </row>
  </sheetData>
  <mergeCells count="6">
    <mergeCell ref="H5:I5"/>
    <mergeCell ref="D12:E12"/>
    <mergeCell ref="B3:D3"/>
    <mergeCell ref="C7:F7"/>
    <mergeCell ref="D8:F8"/>
    <mergeCell ref="D9:F9"/>
  </mergeCells>
  <dataValidations xWindow="343" yWindow="577" count="7">
    <dataValidation allowBlank="1" showInputMessage="1" showErrorMessage="1" promptTitle="คำแนะนำ" prompt="กรอกปี เป็นปี ค.ศ.เท่านั้น" sqref="M1:M2" xr:uid="{00000000-0002-0000-0100-000000000000}"/>
    <dataValidation type="list" allowBlank="1" showInputMessage="1" showErrorMessage="1" promptTitle="กรณี ภงด.1 และ 2" prompt="ให้เลือกรายการย่อยในคอลัมน์นี้ด้วย" sqref="H5:I5" xr:uid="{00000000-0002-0000-0100-000001000000}">
      <formula1>OFFSET(PND_Ref,MATCH($I$4,PND_All,0),0,COUNTIF(PND_All,$I$4),1)</formula1>
    </dataValidation>
    <dataValidation type="list" allowBlank="1" showInputMessage="1" showErrorMessage="1" promptTitle="คำแนะนำ" prompt="เลือกประเภท ภงด." sqref="I4" xr:uid="{00000000-0002-0000-0100-000002000000}">
      <formula1>List_PND</formula1>
    </dataValidation>
    <dataValidation type="list" allowBlank="1" showInputMessage="1" showErrorMessage="1" promptTitle="คำแนะนำ" prompt="คลิกเพื่อเลือกรายชื่อ กรณีที่ยังไม่มีรายชื่อในลิส ให้ไปเพิ่มที่ชีท WHT_Name ก่อน" sqref="C7:F7" xr:uid="{00000000-0002-0000-0100-000003000000}">
      <formula1>Name_Name</formula1>
    </dataValidation>
    <dataValidation type="list" allowBlank="1" showInputMessage="1" showErrorMessage="1" sqref="H8:H9" xr:uid="{00000000-0002-0000-0100-000004000000}">
      <formula1>"1%,2%,3%,5%,10%"</formula1>
    </dataValidation>
    <dataValidation type="list" allowBlank="1" showInputMessage="1" showErrorMessage="1" sqref="C5" xr:uid="{00000000-0002-0000-0100-000005000000}">
      <formula1>List_Month</formula1>
    </dataValidation>
    <dataValidation type="list" allowBlank="1" showInputMessage="1" showErrorMessage="1" sqref="D5" xr:uid="{00000000-0002-0000-0100-000006000000}">
      <formula1>OFFSET(Day_Ref,0,0,DAY(DATE($B$5,MATCH($C$5,List_Month,0)+1,0)),1)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6" r:id="rId4" name="Button 6">
              <controlPr defaultSize="0" print="0" autoFill="0" autoPict="0" macro="[0]!Inp_Save">
                <anchor moveWithCells="1" sizeWithCells="1">
                  <from>
                    <xdr:col>4</xdr:col>
                    <xdr:colOff>57150</xdr:colOff>
                    <xdr:row>14</xdr:row>
                    <xdr:rowOff>66675</xdr:rowOff>
                  </from>
                  <to>
                    <xdr:col>4</xdr:col>
                    <xdr:colOff>895350</xdr:colOff>
                    <xdr:row>14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7" r:id="rId5" name="Button 7">
              <controlPr defaultSize="0" print="0" autoFill="0" autoPict="0" macro="[0]!Inp_Clear">
                <anchor moveWithCells="1" sizeWithCells="1">
                  <from>
                    <xdr:col>5</xdr:col>
                    <xdr:colOff>57150</xdr:colOff>
                    <xdr:row>14</xdr:row>
                    <xdr:rowOff>66675</xdr:rowOff>
                  </from>
                  <to>
                    <xdr:col>5</xdr:col>
                    <xdr:colOff>895350</xdr:colOff>
                    <xdr:row>14</xdr:row>
                    <xdr:rowOff>333375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A1:CK148"/>
  <sheetViews>
    <sheetView showGridLines="0" tabSelected="1" view="pageBreakPreview" topLeftCell="A16" zoomScale="130" zoomScaleNormal="85" zoomScaleSheetLayoutView="130" workbookViewId="0">
      <selection activeCell="X2" sqref="X2"/>
    </sheetView>
  </sheetViews>
  <sheetFormatPr defaultColWidth="1.7109375" defaultRowHeight="18" outlineLevelCol="1" x14ac:dyDescent="0.5"/>
  <cols>
    <col min="1" max="1" width="1.7109375" style="99" customWidth="1"/>
    <col min="2" max="60" width="1.85546875" style="99" customWidth="1"/>
    <col min="61" max="61" width="1.7109375" style="99" customWidth="1"/>
    <col min="62" max="63" width="1.7109375" style="99"/>
    <col min="64" max="70" width="5.7109375" style="99" customWidth="1" outlineLevel="1"/>
    <col min="71" max="71" width="7.28515625" style="99" customWidth="1"/>
    <col min="72" max="76" width="1.7109375" style="99"/>
    <col min="77" max="77" width="1.7109375" style="99" customWidth="1"/>
    <col min="78" max="16384" width="1.7109375" style="99"/>
  </cols>
  <sheetData>
    <row r="1" spans="1:84" s="93" customFormat="1" ht="12.95" customHeight="1" x14ac:dyDescent="0.5">
      <c r="C1" s="94" t="s">
        <v>83</v>
      </c>
    </row>
    <row r="2" spans="1:84" s="93" customFormat="1" ht="12.95" customHeight="1" x14ac:dyDescent="0.5">
      <c r="C2" s="94" t="s">
        <v>84</v>
      </c>
    </row>
    <row r="3" spans="1:84" s="93" customFormat="1" ht="3" customHeight="1" thickBot="1" x14ac:dyDescent="0.55000000000000004"/>
    <row r="4" spans="1:84" s="93" customFormat="1" ht="18" customHeight="1" x14ac:dyDescent="0.5">
      <c r="A4" s="95"/>
      <c r="B4" s="96"/>
      <c r="C4" s="96"/>
      <c r="D4" s="96"/>
      <c r="E4" s="96"/>
      <c r="F4" s="96"/>
      <c r="G4" s="96"/>
      <c r="H4" s="96"/>
      <c r="I4" s="96"/>
      <c r="J4" s="96"/>
      <c r="K4" s="306" t="s">
        <v>23</v>
      </c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  <c r="AN4" s="306"/>
      <c r="AO4" s="306"/>
      <c r="AP4" s="306"/>
      <c r="AQ4" s="306"/>
      <c r="AR4" s="306"/>
      <c r="AS4" s="306"/>
      <c r="AT4" s="306"/>
      <c r="AU4" s="306"/>
      <c r="AV4" s="306"/>
      <c r="AW4" s="306"/>
      <c r="AX4" s="306"/>
      <c r="AY4" s="306"/>
      <c r="AZ4" s="96" t="s">
        <v>56</v>
      </c>
      <c r="BA4" s="96"/>
      <c r="BB4" s="96"/>
      <c r="BC4" s="223"/>
      <c r="BD4" s="223"/>
      <c r="BE4" s="223"/>
      <c r="BF4" s="223"/>
      <c r="BG4" s="223"/>
      <c r="BH4" s="223"/>
      <c r="BI4" s="97"/>
      <c r="BT4" s="93" t="s">
        <v>88</v>
      </c>
      <c r="BX4" s="93" t="s">
        <v>97</v>
      </c>
      <c r="BY4" s="220">
        <v>2022</v>
      </c>
      <c r="BZ4" s="220"/>
      <c r="CA4" s="220"/>
      <c r="CB4" s="220"/>
    </row>
    <row r="5" spans="1:84" ht="15" customHeight="1" x14ac:dyDescent="0.5">
      <c r="A5" s="98"/>
      <c r="C5" s="100"/>
      <c r="K5" s="249" t="s">
        <v>57</v>
      </c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99" t="s">
        <v>2</v>
      </c>
      <c r="BC5" s="224"/>
      <c r="BD5" s="224"/>
      <c r="BE5" s="224"/>
      <c r="BF5" s="224"/>
      <c r="BG5" s="224"/>
      <c r="BH5" s="224"/>
      <c r="BI5" s="102"/>
      <c r="BT5" s="93" t="s">
        <v>85</v>
      </c>
      <c r="BX5" s="99" t="s">
        <v>97</v>
      </c>
      <c r="BY5" s="221" t="s">
        <v>99</v>
      </c>
      <c r="BZ5" s="221"/>
      <c r="CA5" s="221"/>
      <c r="CB5" s="221"/>
      <c r="CC5" s="221"/>
      <c r="CD5" s="221"/>
      <c r="CE5" s="221"/>
      <c r="CF5" s="221"/>
    </row>
    <row r="6" spans="1:84" ht="5.0999999999999996" customHeight="1" thickBot="1" x14ac:dyDescent="0.55000000000000004">
      <c r="A6" s="98"/>
      <c r="B6" s="222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102"/>
    </row>
    <row r="7" spans="1:84" ht="5.0999999999999996" customHeight="1" x14ac:dyDescent="0.5">
      <c r="A7" s="98"/>
      <c r="B7" s="103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5"/>
      <c r="BI7" s="102"/>
    </row>
    <row r="8" spans="1:84" ht="18" customHeight="1" x14ac:dyDescent="0.5">
      <c r="A8" s="98"/>
      <c r="B8" s="106" t="s">
        <v>58</v>
      </c>
      <c r="C8" s="107"/>
      <c r="AC8" s="108" t="s">
        <v>59</v>
      </c>
      <c r="AD8" s="216">
        <v>0</v>
      </c>
      <c r="AE8" s="217"/>
      <c r="AF8" s="166"/>
      <c r="AG8" s="213">
        <v>2</v>
      </c>
      <c r="AH8" s="214"/>
      <c r="AI8" s="214">
        <v>0</v>
      </c>
      <c r="AJ8" s="214"/>
      <c r="AK8" s="214">
        <v>5</v>
      </c>
      <c r="AL8" s="214"/>
      <c r="AM8" s="214">
        <v>5</v>
      </c>
      <c r="AN8" s="219"/>
      <c r="AO8" s="166"/>
      <c r="AP8" s="213">
        <v>6</v>
      </c>
      <c r="AQ8" s="214"/>
      <c r="AR8" s="214">
        <v>0</v>
      </c>
      <c r="AS8" s="214"/>
      <c r="AT8" s="214">
        <v>0</v>
      </c>
      <c r="AU8" s="214"/>
      <c r="AV8" s="214">
        <v>4</v>
      </c>
      <c r="AW8" s="214"/>
      <c r="AX8" s="214">
        <v>0</v>
      </c>
      <c r="AY8" s="219"/>
      <c r="AZ8" s="166"/>
      <c r="BA8" s="213">
        <v>5</v>
      </c>
      <c r="BB8" s="214"/>
      <c r="BC8" s="214">
        <v>0</v>
      </c>
      <c r="BD8" s="219"/>
      <c r="BE8" s="166"/>
      <c r="BF8" s="216">
        <v>7</v>
      </c>
      <c r="BG8" s="217"/>
      <c r="BH8" s="102"/>
      <c r="BI8" s="102"/>
    </row>
    <row r="9" spans="1:84" ht="5.0999999999999996" customHeight="1" x14ac:dyDescent="0.5">
      <c r="A9" s="98"/>
      <c r="B9" s="109"/>
      <c r="C9" s="107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H9" s="102"/>
      <c r="BI9" s="102"/>
    </row>
    <row r="10" spans="1:84" ht="18" customHeight="1" x14ac:dyDescent="0.5">
      <c r="A10" s="98"/>
      <c r="B10" s="98" t="s">
        <v>0</v>
      </c>
      <c r="D10" s="235" t="s">
        <v>129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AI10" s="108" t="s">
        <v>3</v>
      </c>
      <c r="AK10" s="230"/>
      <c r="AL10" s="231"/>
      <c r="AM10" s="93"/>
      <c r="AN10" s="218"/>
      <c r="AO10" s="205"/>
      <c r="AP10" s="205"/>
      <c r="AQ10" s="205"/>
      <c r="AR10" s="205"/>
      <c r="AS10" s="205"/>
      <c r="AT10" s="205"/>
      <c r="AU10" s="208"/>
      <c r="AV10" s="93"/>
      <c r="AW10" s="218"/>
      <c r="AX10" s="205"/>
      <c r="AY10" s="205"/>
      <c r="AZ10" s="205"/>
      <c r="BA10" s="205"/>
      <c r="BB10" s="205"/>
      <c r="BC10" s="205"/>
      <c r="BD10" s="208"/>
      <c r="BE10" s="93"/>
      <c r="BF10" s="230"/>
      <c r="BG10" s="231"/>
      <c r="BH10" s="102"/>
      <c r="BI10" s="102"/>
    </row>
    <row r="11" spans="1:84" ht="12.95" customHeight="1" x14ac:dyDescent="0.5">
      <c r="A11" s="98"/>
      <c r="B11" s="98"/>
      <c r="E11" s="110" t="s">
        <v>24</v>
      </c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02"/>
      <c r="BI11" s="102"/>
    </row>
    <row r="12" spans="1:84" ht="15.95" customHeight="1" x14ac:dyDescent="0.5">
      <c r="A12" s="98"/>
      <c r="B12" s="98" t="s">
        <v>1</v>
      </c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102"/>
      <c r="BI12" s="102"/>
    </row>
    <row r="13" spans="1:84" ht="12.95" customHeight="1" x14ac:dyDescent="0.5">
      <c r="A13" s="98"/>
      <c r="B13" s="98"/>
      <c r="E13" s="112" t="s">
        <v>60</v>
      </c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02"/>
      <c r="BI13" s="102"/>
    </row>
    <row r="14" spans="1:84" ht="5.0999999999999996" customHeight="1" thickBot="1" x14ac:dyDescent="0.55000000000000004">
      <c r="A14" s="98"/>
      <c r="B14" s="114"/>
      <c r="C14" s="115"/>
      <c r="D14" s="115"/>
      <c r="E14" s="116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7"/>
      <c r="BI14" s="102"/>
    </row>
    <row r="15" spans="1:84" ht="5.0999999999999996" customHeight="1" x14ac:dyDescent="0.5">
      <c r="A15" s="98"/>
      <c r="B15" s="103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5"/>
      <c r="BI15" s="102"/>
    </row>
    <row r="16" spans="1:84" ht="18" customHeight="1" x14ac:dyDescent="0.5">
      <c r="A16" s="98"/>
      <c r="B16" s="106" t="s">
        <v>64</v>
      </c>
      <c r="C16" s="107"/>
      <c r="AC16" s="108" t="s">
        <v>59</v>
      </c>
      <c r="AD16" s="216">
        <v>3</v>
      </c>
      <c r="AE16" s="217"/>
      <c r="AF16" s="166"/>
      <c r="AG16" s="213">
        <v>1</v>
      </c>
      <c r="AH16" s="214"/>
      <c r="AI16" s="214">
        <v>0</v>
      </c>
      <c r="AJ16" s="214"/>
      <c r="AK16" s="214">
        <v>2</v>
      </c>
      <c r="AL16" s="214"/>
      <c r="AM16" s="214">
        <v>3</v>
      </c>
      <c r="AN16" s="219"/>
      <c r="AO16" s="166"/>
      <c r="AP16" s="213">
        <v>0</v>
      </c>
      <c r="AQ16" s="214"/>
      <c r="AR16" s="214">
        <v>0</v>
      </c>
      <c r="AS16" s="214"/>
      <c r="AT16" s="214">
        <v>2</v>
      </c>
      <c r="AU16" s="214"/>
      <c r="AV16" s="214">
        <v>2</v>
      </c>
      <c r="AW16" s="214"/>
      <c r="AX16" s="214">
        <v>7</v>
      </c>
      <c r="AY16" s="219"/>
      <c r="AZ16" s="166"/>
      <c r="BA16" s="213">
        <v>1</v>
      </c>
      <c r="BB16" s="214"/>
      <c r="BC16" s="214">
        <v>1</v>
      </c>
      <c r="BD16" s="219"/>
      <c r="BE16" s="166"/>
      <c r="BF16" s="216">
        <v>1</v>
      </c>
      <c r="BG16" s="217"/>
      <c r="BH16" s="102"/>
      <c r="BI16" s="102"/>
      <c r="BL16" s="236" t="str">
        <f>IF(Doc_No="","",INDEX(#REF!,MATCH(D18,#REF!,0)))</f>
        <v/>
      </c>
      <c r="BM16" s="236"/>
      <c r="BN16" s="236"/>
      <c r="BO16" s="236"/>
    </row>
    <row r="17" spans="1:70" ht="5.0999999999999996" customHeight="1" x14ac:dyDescent="0.5">
      <c r="A17" s="98"/>
      <c r="B17" s="109"/>
      <c r="C17" s="107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H17" s="102"/>
      <c r="BI17" s="102"/>
    </row>
    <row r="18" spans="1:70" ht="18" customHeight="1" x14ac:dyDescent="0.5">
      <c r="A18" s="98"/>
      <c r="B18" s="98" t="s">
        <v>0</v>
      </c>
      <c r="D18" s="234" t="s">
        <v>130</v>
      </c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34"/>
      <c r="S18" s="234"/>
      <c r="T18" s="234"/>
      <c r="U18" s="234"/>
      <c r="V18" s="234"/>
      <c r="W18" s="234"/>
      <c r="AI18" s="108" t="s">
        <v>3</v>
      </c>
      <c r="AK18" s="230"/>
      <c r="AL18" s="231"/>
      <c r="AM18" s="93"/>
      <c r="AN18" s="218"/>
      <c r="AO18" s="205"/>
      <c r="AP18" s="205"/>
      <c r="AQ18" s="205"/>
      <c r="AR18" s="205"/>
      <c r="AS18" s="205"/>
      <c r="AT18" s="205"/>
      <c r="AU18" s="208"/>
      <c r="AV18" s="93"/>
      <c r="AW18" s="218"/>
      <c r="AX18" s="205"/>
      <c r="AY18" s="205"/>
      <c r="AZ18" s="205"/>
      <c r="BA18" s="205"/>
      <c r="BB18" s="205"/>
      <c r="BC18" s="205"/>
      <c r="BD18" s="208"/>
      <c r="BE18" s="93"/>
      <c r="BF18" s="230"/>
      <c r="BG18" s="231"/>
      <c r="BH18" s="102"/>
      <c r="BI18" s="102"/>
    </row>
    <row r="19" spans="1:70" ht="12.95" customHeight="1" x14ac:dyDescent="0.5">
      <c r="A19" s="98"/>
      <c r="B19" s="98"/>
      <c r="E19" s="110" t="s">
        <v>24</v>
      </c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02"/>
      <c r="BI19" s="102"/>
    </row>
    <row r="20" spans="1:70" ht="15.95" customHeight="1" x14ac:dyDescent="0.5">
      <c r="A20" s="98"/>
      <c r="B20" s="98" t="s">
        <v>1</v>
      </c>
      <c r="D20" s="232" t="s">
        <v>131</v>
      </c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102"/>
      <c r="BI20" s="102"/>
    </row>
    <row r="21" spans="1:70" ht="12.95" customHeight="1" x14ac:dyDescent="0.5">
      <c r="A21" s="98"/>
      <c r="B21" s="98"/>
      <c r="E21" s="112" t="s">
        <v>60</v>
      </c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02"/>
      <c r="BI21" s="102"/>
      <c r="BL21" s="99" t="str">
        <f>IF(Doc_No="","",INDEX(WHT_Tax_Type,MATCH(Doc_No,WHT_Doc_No,0)))</f>
        <v/>
      </c>
      <c r="BN21" s="99" t="str">
        <f>IF(Doc_No="","",INDEX(WHT_Tax_Type,MATCH(Doc_No,WHT_Doc_No,0)))</f>
        <v/>
      </c>
      <c r="BO21" s="99" t="str">
        <f>IF(Doc_No="","",INDEX(WHT_Tax_Type,MATCH(Doc_No,WHT_Doc_No,0)))</f>
        <v/>
      </c>
      <c r="BR21" s="99" t="str">
        <f>IF(Doc_No="","",INDEX(WHT_Tax_Type,MATCH(Doc_No,WHT_Doc_No,0)))</f>
        <v/>
      </c>
    </row>
    <row r="22" spans="1:70" ht="5.0999999999999996" customHeight="1" x14ac:dyDescent="0.5">
      <c r="A22" s="98"/>
      <c r="B22" s="98"/>
      <c r="E22" s="118"/>
      <c r="BH22" s="102"/>
      <c r="BI22" s="102"/>
    </row>
    <row r="23" spans="1:70" ht="15.95" customHeight="1" x14ac:dyDescent="0.45">
      <c r="A23" s="98"/>
      <c r="B23" s="98" t="s">
        <v>63</v>
      </c>
      <c r="E23" s="112"/>
      <c r="F23" s="230"/>
      <c r="G23" s="312"/>
      <c r="H23" s="312"/>
      <c r="I23" s="312"/>
      <c r="J23" s="231"/>
      <c r="L23" s="99" t="s">
        <v>4</v>
      </c>
      <c r="P23" s="119"/>
      <c r="Q23" s="119"/>
      <c r="R23" s="119"/>
      <c r="S23" s="119"/>
      <c r="Y23" s="206" t="s">
        <v>71</v>
      </c>
      <c r="Z23" s="206"/>
      <c r="AA23" s="206"/>
      <c r="AB23" s="206"/>
      <c r="AC23" s="206"/>
      <c r="AD23" s="206"/>
      <c r="AE23" s="206"/>
      <c r="AF23" s="206"/>
      <c r="AH23" s="206" t="s">
        <v>68</v>
      </c>
      <c r="AI23" s="206"/>
      <c r="AJ23" s="206"/>
      <c r="AK23" s="206"/>
      <c r="AL23" s="206"/>
      <c r="AM23" s="206"/>
      <c r="AN23" s="206"/>
      <c r="AO23" s="206"/>
      <c r="AP23" s="206"/>
      <c r="AR23" s="229" t="s">
        <v>66</v>
      </c>
      <c r="AS23" s="229"/>
      <c r="AT23" s="229"/>
      <c r="AU23" s="229"/>
      <c r="AV23" s="229"/>
      <c r="AW23" s="229"/>
      <c r="AX23" s="229"/>
      <c r="AY23" s="229"/>
      <c r="BA23" s="229" t="s">
        <v>65</v>
      </c>
      <c r="BB23" s="229"/>
      <c r="BC23" s="229"/>
      <c r="BD23" s="229"/>
      <c r="BE23" s="229"/>
      <c r="BF23" s="229"/>
      <c r="BG23" s="229"/>
      <c r="BH23" s="102"/>
      <c r="BI23" s="102"/>
      <c r="BL23" s="121" t="b">
        <v>1</v>
      </c>
      <c r="BM23" s="121" t="b">
        <v>0</v>
      </c>
      <c r="BN23" s="121" t="b">
        <v>0</v>
      </c>
      <c r="BO23" s="121" t="b">
        <v>0</v>
      </c>
      <c r="BP23" s="121" t="b">
        <v>0</v>
      </c>
      <c r="BQ23" s="121" t="b">
        <v>0</v>
      </c>
      <c r="BR23" s="121" t="b">
        <v>0</v>
      </c>
    </row>
    <row r="24" spans="1:70" ht="5.0999999999999996" customHeight="1" x14ac:dyDescent="0.5">
      <c r="A24" s="98"/>
      <c r="B24" s="248"/>
      <c r="C24" s="249"/>
      <c r="D24" s="249"/>
      <c r="E24" s="249"/>
      <c r="F24" s="249"/>
      <c r="G24" s="249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49"/>
      <c r="AT24" s="249"/>
      <c r="AU24" s="249"/>
      <c r="AV24" s="249"/>
      <c r="AW24" s="249"/>
      <c r="AX24" s="249"/>
      <c r="AY24" s="249"/>
      <c r="AZ24" s="249"/>
      <c r="BA24" s="249"/>
      <c r="BB24" s="249"/>
      <c r="BC24" s="249"/>
      <c r="BD24" s="249"/>
      <c r="BE24" s="249"/>
      <c r="BF24" s="249"/>
      <c r="BG24" s="249"/>
      <c r="BH24" s="250"/>
      <c r="BI24" s="102"/>
    </row>
    <row r="25" spans="1:70" ht="9.9499999999999993" customHeight="1" x14ac:dyDescent="0.45">
      <c r="A25" s="98"/>
      <c r="B25" s="124" t="s">
        <v>61</v>
      </c>
      <c r="P25" s="125"/>
      <c r="R25" s="119"/>
      <c r="Y25" s="206" t="s">
        <v>70</v>
      </c>
      <c r="Z25" s="206"/>
      <c r="AA25" s="206"/>
      <c r="AB25" s="206"/>
      <c r="AC25" s="206"/>
      <c r="AD25" s="206"/>
      <c r="AE25" s="206"/>
      <c r="AF25" s="206"/>
      <c r="AH25" s="206" t="s">
        <v>69</v>
      </c>
      <c r="AI25" s="206"/>
      <c r="AJ25" s="206"/>
      <c r="AK25" s="206"/>
      <c r="AL25" s="206"/>
      <c r="AM25" s="206"/>
      <c r="AN25" s="206"/>
      <c r="AO25" s="206"/>
      <c r="AP25" s="206"/>
      <c r="AR25" s="229" t="s">
        <v>67</v>
      </c>
      <c r="AS25" s="229"/>
      <c r="AT25" s="229"/>
      <c r="AU25" s="229"/>
      <c r="AV25" s="229"/>
      <c r="AW25" s="229"/>
      <c r="AX25" s="229"/>
      <c r="AY25" s="229"/>
      <c r="BH25" s="102"/>
      <c r="BI25" s="102"/>
    </row>
    <row r="26" spans="1:70" ht="9.9499999999999993" customHeight="1" x14ac:dyDescent="0.5">
      <c r="A26" s="98"/>
      <c r="B26" s="124" t="s">
        <v>62</v>
      </c>
      <c r="R26" s="120"/>
      <c r="Y26" s="206"/>
      <c r="Z26" s="206"/>
      <c r="AA26" s="206"/>
      <c r="AB26" s="206"/>
      <c r="AC26" s="206"/>
      <c r="AD26" s="206"/>
      <c r="AE26" s="206"/>
      <c r="AF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120"/>
      <c r="AR26" s="229"/>
      <c r="AS26" s="229"/>
      <c r="AT26" s="229"/>
      <c r="AU26" s="229"/>
      <c r="AV26" s="229"/>
      <c r="AW26" s="229"/>
      <c r="AX26" s="229"/>
      <c r="AY26" s="229"/>
      <c r="BH26" s="102"/>
      <c r="BI26" s="102"/>
    </row>
    <row r="27" spans="1:70" ht="5.0999999999999996" customHeight="1" thickBot="1" x14ac:dyDescent="0.55000000000000004">
      <c r="A27" s="98"/>
      <c r="B27" s="195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7"/>
      <c r="BI27" s="102"/>
    </row>
    <row r="28" spans="1:70" ht="18" customHeight="1" x14ac:dyDescent="0.5">
      <c r="A28" s="98"/>
      <c r="B28" s="305" t="s">
        <v>29</v>
      </c>
      <c r="C28" s="306"/>
      <c r="D28" s="306"/>
      <c r="E28" s="306"/>
      <c r="F28" s="306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  <c r="AG28" s="306"/>
      <c r="AH28" s="306"/>
      <c r="AI28" s="306"/>
      <c r="AJ28" s="307"/>
      <c r="AK28" s="310" t="s">
        <v>10</v>
      </c>
      <c r="AL28" s="306"/>
      <c r="AM28" s="306"/>
      <c r="AN28" s="306"/>
      <c r="AO28" s="306"/>
      <c r="AP28" s="306"/>
      <c r="AQ28" s="306"/>
      <c r="AR28" s="307"/>
      <c r="AS28" s="310" t="s">
        <v>9</v>
      </c>
      <c r="AT28" s="306"/>
      <c r="AU28" s="306"/>
      <c r="AV28" s="306"/>
      <c r="AW28" s="306"/>
      <c r="AX28" s="306"/>
      <c r="AY28" s="306"/>
      <c r="AZ28" s="307"/>
      <c r="BA28" s="310" t="s">
        <v>7</v>
      </c>
      <c r="BB28" s="306"/>
      <c r="BC28" s="306"/>
      <c r="BD28" s="306"/>
      <c r="BE28" s="306"/>
      <c r="BF28" s="306"/>
      <c r="BG28" s="306"/>
      <c r="BH28" s="311"/>
      <c r="BI28" s="102"/>
    </row>
    <row r="29" spans="1:70" ht="18" customHeight="1" thickBot="1" x14ac:dyDescent="0.55000000000000004">
      <c r="A29" s="98"/>
      <c r="B29" s="308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309"/>
      <c r="AK29" s="202" t="s">
        <v>11</v>
      </c>
      <c r="AL29" s="203"/>
      <c r="AM29" s="203"/>
      <c r="AN29" s="203"/>
      <c r="AO29" s="203"/>
      <c r="AP29" s="203"/>
      <c r="AQ29" s="203"/>
      <c r="AR29" s="309"/>
      <c r="AS29" s="202"/>
      <c r="AT29" s="203"/>
      <c r="AU29" s="203"/>
      <c r="AV29" s="203"/>
      <c r="AW29" s="203"/>
      <c r="AX29" s="203"/>
      <c r="AY29" s="203"/>
      <c r="AZ29" s="309"/>
      <c r="BA29" s="202" t="s">
        <v>8</v>
      </c>
      <c r="BB29" s="203"/>
      <c r="BC29" s="203"/>
      <c r="BD29" s="203"/>
      <c r="BE29" s="203"/>
      <c r="BF29" s="203"/>
      <c r="BG29" s="203"/>
      <c r="BH29" s="204"/>
      <c r="BI29" s="102"/>
    </row>
    <row r="30" spans="1:70" ht="15.95" customHeight="1" x14ac:dyDescent="0.5">
      <c r="A30" s="98"/>
      <c r="B30" s="242" t="s">
        <v>12</v>
      </c>
      <c r="C30" s="243"/>
      <c r="D30" s="93" t="s">
        <v>25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299"/>
      <c r="AL30" s="300"/>
      <c r="AM30" s="300"/>
      <c r="AN30" s="300"/>
      <c r="AO30" s="300"/>
      <c r="AP30" s="300"/>
      <c r="AQ30" s="300"/>
      <c r="AR30" s="301"/>
      <c r="AS30" s="326"/>
      <c r="AT30" s="327"/>
      <c r="AU30" s="327"/>
      <c r="AV30" s="327"/>
      <c r="AW30" s="327"/>
      <c r="AX30" s="327"/>
      <c r="AY30" s="327"/>
      <c r="AZ30" s="328"/>
      <c r="BA30" s="336"/>
      <c r="BB30" s="337"/>
      <c r="BC30" s="337"/>
      <c r="BD30" s="337"/>
      <c r="BE30" s="337"/>
      <c r="BF30" s="337"/>
      <c r="BG30" s="337"/>
      <c r="BH30" s="338"/>
      <c r="BI30" s="102"/>
    </row>
    <row r="31" spans="1:70" ht="15.95" customHeight="1" x14ac:dyDescent="0.5">
      <c r="A31" s="98"/>
      <c r="B31" s="242" t="s">
        <v>13</v>
      </c>
      <c r="C31" s="243"/>
      <c r="D31" s="93" t="s">
        <v>26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199" t="s">
        <v>128</v>
      </c>
      <c r="AL31" s="200"/>
      <c r="AM31" s="200"/>
      <c r="AN31" s="200"/>
      <c r="AO31" s="200"/>
      <c r="AP31" s="200"/>
      <c r="AQ31" s="200"/>
      <c r="AR31" s="201"/>
      <c r="AS31" s="180">
        <v>143695</v>
      </c>
      <c r="AT31" s="181"/>
      <c r="AU31" s="181"/>
      <c r="AV31" s="181"/>
      <c r="AW31" s="181"/>
      <c r="AX31" s="181"/>
      <c r="AY31" s="181"/>
      <c r="AZ31" s="182"/>
      <c r="BA31" s="170">
        <v>290.76</v>
      </c>
      <c r="BB31" s="171"/>
      <c r="BC31" s="172"/>
      <c r="BD31" s="172"/>
      <c r="BE31" s="172"/>
      <c r="BF31" s="172"/>
      <c r="BG31" s="172"/>
      <c r="BH31" s="173"/>
      <c r="BI31" s="102"/>
    </row>
    <row r="32" spans="1:70" ht="15.95" customHeight="1" x14ac:dyDescent="0.5">
      <c r="A32" s="98"/>
      <c r="B32" s="242" t="s">
        <v>14</v>
      </c>
      <c r="C32" s="243"/>
      <c r="D32" s="93" t="s">
        <v>27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199"/>
      <c r="AL32" s="200"/>
      <c r="AM32" s="200"/>
      <c r="AN32" s="200"/>
      <c r="AO32" s="200"/>
      <c r="AP32" s="200"/>
      <c r="AQ32" s="200"/>
      <c r="AR32" s="201"/>
      <c r="AS32" s="180"/>
      <c r="AT32" s="181"/>
      <c r="AU32" s="181"/>
      <c r="AV32" s="181"/>
      <c r="AW32" s="181"/>
      <c r="AX32" s="181"/>
      <c r="AY32" s="181"/>
      <c r="AZ32" s="182"/>
      <c r="BA32" s="170"/>
      <c r="BB32" s="171"/>
      <c r="BC32" s="172"/>
      <c r="BD32" s="172"/>
      <c r="BE32" s="172"/>
      <c r="BF32" s="172"/>
      <c r="BG32" s="172"/>
      <c r="BH32" s="173"/>
      <c r="BI32" s="102"/>
    </row>
    <row r="33" spans="1:61" ht="15.95" customHeight="1" x14ac:dyDescent="0.5">
      <c r="A33" s="98"/>
      <c r="B33" s="242" t="s">
        <v>15</v>
      </c>
      <c r="C33" s="243"/>
      <c r="D33" s="127" t="s">
        <v>17</v>
      </c>
      <c r="E33" s="93"/>
      <c r="F33" s="93" t="s">
        <v>28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199"/>
      <c r="AL33" s="200"/>
      <c r="AM33" s="200"/>
      <c r="AN33" s="200"/>
      <c r="AO33" s="200"/>
      <c r="AP33" s="200"/>
      <c r="AQ33" s="200"/>
      <c r="AR33" s="201"/>
      <c r="AS33" s="180"/>
      <c r="AT33" s="181"/>
      <c r="AU33" s="181"/>
      <c r="AV33" s="181"/>
      <c r="AW33" s="181"/>
      <c r="AX33" s="181"/>
      <c r="AY33" s="181"/>
      <c r="AZ33" s="182"/>
      <c r="BA33" s="170"/>
      <c r="BB33" s="171"/>
      <c r="BC33" s="172"/>
      <c r="BD33" s="172"/>
      <c r="BE33" s="172"/>
      <c r="BF33" s="172"/>
      <c r="BG33" s="172"/>
      <c r="BH33" s="173"/>
      <c r="BI33" s="102"/>
    </row>
    <row r="34" spans="1:61" ht="15.95" customHeight="1" x14ac:dyDescent="0.5">
      <c r="A34" s="98"/>
      <c r="B34" s="242"/>
      <c r="C34" s="243"/>
      <c r="D34" s="127" t="s">
        <v>18</v>
      </c>
      <c r="E34" s="93"/>
      <c r="F34" s="93" t="s">
        <v>39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323"/>
      <c r="AL34" s="324"/>
      <c r="AM34" s="324"/>
      <c r="AN34" s="324"/>
      <c r="AO34" s="324"/>
      <c r="AP34" s="324"/>
      <c r="AQ34" s="324"/>
      <c r="AR34" s="325"/>
      <c r="AS34" s="313"/>
      <c r="AT34" s="314"/>
      <c r="AU34" s="314"/>
      <c r="AV34" s="314"/>
      <c r="AW34" s="314"/>
      <c r="AX34" s="314"/>
      <c r="AY34" s="314"/>
      <c r="AZ34" s="315"/>
      <c r="BA34" s="227"/>
      <c r="BB34" s="228"/>
      <c r="BC34" s="186"/>
      <c r="BD34" s="186"/>
      <c r="BE34" s="186"/>
      <c r="BF34" s="186"/>
      <c r="BG34" s="186"/>
      <c r="BH34" s="187"/>
      <c r="BI34" s="102"/>
    </row>
    <row r="35" spans="1:61" ht="15.95" customHeight="1" x14ac:dyDescent="0.5">
      <c r="A35" s="98"/>
      <c r="B35" s="128"/>
      <c r="C35" s="127"/>
      <c r="D35" s="127"/>
      <c r="E35" s="127" t="s">
        <v>5</v>
      </c>
      <c r="F35" s="93"/>
      <c r="G35" s="93" t="s">
        <v>38</v>
      </c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319"/>
      <c r="AL35" s="320"/>
      <c r="AM35" s="320"/>
      <c r="AN35" s="320"/>
      <c r="AO35" s="320"/>
      <c r="AP35" s="320"/>
      <c r="AQ35" s="320"/>
      <c r="AR35" s="321"/>
      <c r="AS35" s="183"/>
      <c r="AT35" s="184"/>
      <c r="AU35" s="184"/>
      <c r="AV35" s="184"/>
      <c r="AW35" s="184"/>
      <c r="AX35" s="184"/>
      <c r="AY35" s="184"/>
      <c r="AZ35" s="185"/>
      <c r="BA35" s="178"/>
      <c r="BB35" s="179"/>
      <c r="BC35" s="174"/>
      <c r="BD35" s="174"/>
      <c r="BE35" s="174"/>
      <c r="BF35" s="174"/>
      <c r="BG35" s="174"/>
      <c r="BH35" s="175"/>
      <c r="BI35" s="102"/>
    </row>
    <row r="36" spans="1:61" ht="15.95" customHeight="1" x14ac:dyDescent="0.5">
      <c r="A36" s="98"/>
      <c r="B36" s="126"/>
      <c r="C36" s="100"/>
      <c r="D36" s="100"/>
      <c r="E36" s="100"/>
      <c r="F36" s="100"/>
      <c r="G36" s="93" t="s">
        <v>40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319"/>
      <c r="AL36" s="320"/>
      <c r="AM36" s="320"/>
      <c r="AN36" s="320"/>
      <c r="AO36" s="320"/>
      <c r="AP36" s="320"/>
      <c r="AQ36" s="320"/>
      <c r="AR36" s="321"/>
      <c r="AS36" s="183"/>
      <c r="AT36" s="184"/>
      <c r="AU36" s="184"/>
      <c r="AV36" s="184"/>
      <c r="AW36" s="184"/>
      <c r="AX36" s="184"/>
      <c r="AY36" s="184"/>
      <c r="AZ36" s="185"/>
      <c r="BA36" s="178"/>
      <c r="BB36" s="179"/>
      <c r="BC36" s="174"/>
      <c r="BD36" s="174"/>
      <c r="BE36" s="174"/>
      <c r="BF36" s="174"/>
      <c r="BG36" s="174"/>
      <c r="BH36" s="175"/>
      <c r="BI36" s="102"/>
    </row>
    <row r="37" spans="1:61" ht="15.95" customHeight="1" x14ac:dyDescent="0.5">
      <c r="A37" s="98"/>
      <c r="B37" s="128"/>
      <c r="C37" s="127"/>
      <c r="D37" s="127"/>
      <c r="E37" s="93"/>
      <c r="G37" s="93" t="s">
        <v>30</v>
      </c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331"/>
      <c r="AL37" s="332"/>
      <c r="AM37" s="332"/>
      <c r="AN37" s="332"/>
      <c r="AO37" s="332"/>
      <c r="AP37" s="332"/>
      <c r="AQ37" s="332"/>
      <c r="AR37" s="333"/>
      <c r="AS37" s="316"/>
      <c r="AT37" s="317"/>
      <c r="AU37" s="317"/>
      <c r="AV37" s="317"/>
      <c r="AW37" s="317"/>
      <c r="AX37" s="317"/>
      <c r="AY37" s="317"/>
      <c r="AZ37" s="318"/>
      <c r="BA37" s="225"/>
      <c r="BB37" s="226"/>
      <c r="BC37" s="176"/>
      <c r="BD37" s="176"/>
      <c r="BE37" s="176"/>
      <c r="BF37" s="176"/>
      <c r="BG37" s="176"/>
      <c r="BH37" s="177"/>
      <c r="BI37" s="102"/>
    </row>
    <row r="38" spans="1:61" ht="15.95" customHeight="1" x14ac:dyDescent="0.5">
      <c r="A38" s="98"/>
      <c r="B38" s="128"/>
      <c r="C38" s="127"/>
      <c r="D38" s="127"/>
      <c r="E38" s="93"/>
      <c r="F38" s="93"/>
      <c r="G38" s="93" t="s">
        <v>31</v>
      </c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199"/>
      <c r="AL38" s="200"/>
      <c r="AM38" s="200"/>
      <c r="AN38" s="200"/>
      <c r="AO38" s="200"/>
      <c r="AP38" s="200"/>
      <c r="AQ38" s="200"/>
      <c r="AR38" s="201"/>
      <c r="AS38" s="180"/>
      <c r="AT38" s="181"/>
      <c r="AU38" s="181"/>
      <c r="AV38" s="181"/>
      <c r="AW38" s="181"/>
      <c r="AX38" s="181"/>
      <c r="AY38" s="181"/>
      <c r="AZ38" s="182"/>
      <c r="BA38" s="170"/>
      <c r="BB38" s="171"/>
      <c r="BC38" s="172"/>
      <c r="BD38" s="172"/>
      <c r="BE38" s="172"/>
      <c r="BF38" s="172"/>
      <c r="BG38" s="172"/>
      <c r="BH38" s="173"/>
      <c r="BI38" s="102"/>
    </row>
    <row r="39" spans="1:61" ht="15.95" customHeight="1" x14ac:dyDescent="0.5">
      <c r="A39" s="98"/>
      <c r="B39" s="128"/>
      <c r="C39" s="127"/>
      <c r="D39" s="127"/>
      <c r="E39" s="93"/>
      <c r="F39" s="93"/>
      <c r="G39" s="93" t="s">
        <v>32</v>
      </c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199"/>
      <c r="AL39" s="200"/>
      <c r="AM39" s="200"/>
      <c r="AN39" s="200"/>
      <c r="AO39" s="200"/>
      <c r="AP39" s="200"/>
      <c r="AQ39" s="200"/>
      <c r="AR39" s="201"/>
      <c r="AS39" s="180"/>
      <c r="AT39" s="181"/>
      <c r="AU39" s="181"/>
      <c r="AV39" s="181"/>
      <c r="AW39" s="181"/>
      <c r="AX39" s="181"/>
      <c r="AY39" s="181"/>
      <c r="AZ39" s="182"/>
      <c r="BA39" s="170"/>
      <c r="BB39" s="171"/>
      <c r="BC39" s="172"/>
      <c r="BD39" s="172"/>
      <c r="BE39" s="172"/>
      <c r="BF39" s="172"/>
      <c r="BG39" s="172"/>
      <c r="BH39" s="173"/>
      <c r="BI39" s="102"/>
    </row>
    <row r="40" spans="1:61" ht="15.95" customHeight="1" x14ac:dyDescent="0.5">
      <c r="A40" s="98"/>
      <c r="B40" s="128"/>
      <c r="C40" s="127"/>
      <c r="D40" s="127"/>
      <c r="E40" s="93"/>
      <c r="F40" s="93"/>
      <c r="G40" s="93" t="s">
        <v>122</v>
      </c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199"/>
      <c r="AL40" s="200"/>
      <c r="AM40" s="200"/>
      <c r="AN40" s="200"/>
      <c r="AO40" s="200"/>
      <c r="AP40" s="200"/>
      <c r="AQ40" s="200"/>
      <c r="AR40" s="201"/>
      <c r="AS40" s="180"/>
      <c r="AT40" s="181"/>
      <c r="AU40" s="181"/>
      <c r="AV40" s="181"/>
      <c r="AW40" s="181"/>
      <c r="AX40" s="181"/>
      <c r="AY40" s="181"/>
      <c r="AZ40" s="182"/>
      <c r="BA40" s="170"/>
      <c r="BB40" s="171"/>
      <c r="BC40" s="172"/>
      <c r="BD40" s="172"/>
      <c r="BE40" s="172"/>
      <c r="BF40" s="172"/>
      <c r="BG40" s="172"/>
      <c r="BH40" s="173"/>
      <c r="BI40" s="102"/>
    </row>
    <row r="41" spans="1:61" ht="15.95" customHeight="1" x14ac:dyDescent="0.5">
      <c r="A41" s="98"/>
      <c r="B41" s="128"/>
      <c r="C41" s="127"/>
      <c r="E41" s="127" t="s">
        <v>6</v>
      </c>
      <c r="F41" s="93"/>
      <c r="G41" s="93" t="s">
        <v>41</v>
      </c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323"/>
      <c r="AL41" s="324"/>
      <c r="AM41" s="324"/>
      <c r="AN41" s="324"/>
      <c r="AO41" s="324"/>
      <c r="AP41" s="324"/>
      <c r="AQ41" s="324"/>
      <c r="AR41" s="325"/>
      <c r="AS41" s="313"/>
      <c r="AT41" s="314"/>
      <c r="AU41" s="314"/>
      <c r="AV41" s="314"/>
      <c r="AW41" s="314"/>
      <c r="AX41" s="314"/>
      <c r="AY41" s="314"/>
      <c r="AZ41" s="315"/>
      <c r="BA41" s="227"/>
      <c r="BB41" s="228"/>
      <c r="BC41" s="186"/>
      <c r="BD41" s="186"/>
      <c r="BE41" s="186"/>
      <c r="BF41" s="186"/>
      <c r="BG41" s="186"/>
      <c r="BH41" s="187"/>
      <c r="BI41" s="102"/>
    </row>
    <row r="42" spans="1:61" ht="15.95" customHeight="1" x14ac:dyDescent="0.5">
      <c r="A42" s="98"/>
      <c r="B42" s="128"/>
      <c r="C42" s="127"/>
      <c r="D42" s="127"/>
      <c r="E42" s="93"/>
      <c r="G42" s="93" t="s">
        <v>42</v>
      </c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331"/>
      <c r="AL42" s="332"/>
      <c r="AM42" s="332"/>
      <c r="AN42" s="332"/>
      <c r="AO42" s="332"/>
      <c r="AP42" s="332"/>
      <c r="AQ42" s="332"/>
      <c r="AR42" s="333"/>
      <c r="AS42" s="316"/>
      <c r="AT42" s="317"/>
      <c r="AU42" s="317"/>
      <c r="AV42" s="317"/>
      <c r="AW42" s="317"/>
      <c r="AX42" s="317"/>
      <c r="AY42" s="317"/>
      <c r="AZ42" s="318"/>
      <c r="BA42" s="225"/>
      <c r="BB42" s="226"/>
      <c r="BC42" s="176"/>
      <c r="BD42" s="176"/>
      <c r="BE42" s="176"/>
      <c r="BF42" s="176"/>
      <c r="BG42" s="176"/>
      <c r="BH42" s="177"/>
      <c r="BI42" s="102"/>
    </row>
    <row r="43" spans="1:61" ht="15.95" customHeight="1" x14ac:dyDescent="0.5">
      <c r="A43" s="98"/>
      <c r="B43" s="128"/>
      <c r="C43" s="127"/>
      <c r="E43" s="127"/>
      <c r="F43" s="93"/>
      <c r="G43" s="93" t="s">
        <v>43</v>
      </c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323"/>
      <c r="AL43" s="324"/>
      <c r="AM43" s="324"/>
      <c r="AN43" s="324"/>
      <c r="AO43" s="324"/>
      <c r="AP43" s="324"/>
      <c r="AQ43" s="324"/>
      <c r="AR43" s="325"/>
      <c r="AS43" s="313"/>
      <c r="AT43" s="314"/>
      <c r="AU43" s="314"/>
      <c r="AV43" s="314"/>
      <c r="AW43" s="314"/>
      <c r="AX43" s="314"/>
      <c r="AY43" s="314"/>
      <c r="AZ43" s="315"/>
      <c r="BA43" s="227"/>
      <c r="BB43" s="228"/>
      <c r="BC43" s="186"/>
      <c r="BD43" s="186"/>
      <c r="BE43" s="186"/>
      <c r="BF43" s="186"/>
      <c r="BG43" s="186"/>
      <c r="BH43" s="187"/>
      <c r="BI43" s="102"/>
    </row>
    <row r="44" spans="1:61" ht="15.95" customHeight="1" x14ac:dyDescent="0.5">
      <c r="A44" s="98"/>
      <c r="B44" s="128"/>
      <c r="C44" s="127"/>
      <c r="E44" s="127"/>
      <c r="F44" s="93"/>
      <c r="G44" s="93"/>
      <c r="H44" s="93"/>
      <c r="I44" s="93" t="s">
        <v>44</v>
      </c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331"/>
      <c r="AL44" s="332"/>
      <c r="AM44" s="332"/>
      <c r="AN44" s="332"/>
      <c r="AO44" s="332"/>
      <c r="AP44" s="332"/>
      <c r="AQ44" s="332"/>
      <c r="AR44" s="333"/>
      <c r="AS44" s="316"/>
      <c r="AT44" s="317"/>
      <c r="AU44" s="317"/>
      <c r="AV44" s="317"/>
      <c r="AW44" s="317"/>
      <c r="AX44" s="317"/>
      <c r="AY44" s="317"/>
      <c r="AZ44" s="318"/>
      <c r="BA44" s="225"/>
      <c r="BB44" s="226"/>
      <c r="BC44" s="176"/>
      <c r="BD44" s="176"/>
      <c r="BE44" s="176"/>
      <c r="BF44" s="176"/>
      <c r="BG44" s="176"/>
      <c r="BH44" s="177"/>
      <c r="BI44" s="102"/>
    </row>
    <row r="45" spans="1:61" ht="15.95" customHeight="1" x14ac:dyDescent="0.5">
      <c r="A45" s="98"/>
      <c r="B45" s="128"/>
      <c r="C45" s="127"/>
      <c r="D45" s="127"/>
      <c r="E45" s="93"/>
      <c r="F45" s="93"/>
      <c r="G45" s="93" t="s">
        <v>121</v>
      </c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323"/>
      <c r="AL45" s="324"/>
      <c r="AM45" s="324"/>
      <c r="AN45" s="324"/>
      <c r="AO45" s="324"/>
      <c r="AP45" s="324"/>
      <c r="AQ45" s="324"/>
      <c r="AR45" s="325"/>
      <c r="AS45" s="313"/>
      <c r="AT45" s="314"/>
      <c r="AU45" s="314"/>
      <c r="AV45" s="314"/>
      <c r="AW45" s="314"/>
      <c r="AX45" s="314"/>
      <c r="AY45" s="314"/>
      <c r="AZ45" s="315"/>
      <c r="BA45" s="227"/>
      <c r="BB45" s="228"/>
      <c r="BC45" s="186"/>
      <c r="BD45" s="186"/>
      <c r="BE45" s="186"/>
      <c r="BF45" s="186"/>
      <c r="BG45" s="186"/>
      <c r="BH45" s="187"/>
      <c r="BI45" s="102"/>
    </row>
    <row r="46" spans="1:61" ht="15.95" customHeight="1" x14ac:dyDescent="0.5">
      <c r="A46" s="98"/>
      <c r="B46" s="128"/>
      <c r="C46" s="127"/>
      <c r="D46" s="127"/>
      <c r="E46" s="93"/>
      <c r="F46" s="93"/>
      <c r="G46" s="93" t="s">
        <v>45</v>
      </c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199"/>
      <c r="AL46" s="200"/>
      <c r="AM46" s="200"/>
      <c r="AN46" s="200"/>
      <c r="AO46" s="200"/>
      <c r="AP46" s="200"/>
      <c r="AQ46" s="200"/>
      <c r="AR46" s="201"/>
      <c r="AS46" s="180"/>
      <c r="AT46" s="181"/>
      <c r="AU46" s="181"/>
      <c r="AV46" s="181"/>
      <c r="AW46" s="181"/>
      <c r="AX46" s="181"/>
      <c r="AY46" s="181"/>
      <c r="AZ46" s="182"/>
      <c r="BA46" s="170"/>
      <c r="BB46" s="171"/>
      <c r="BC46" s="172"/>
      <c r="BD46" s="172"/>
      <c r="BE46" s="172"/>
      <c r="BF46" s="172"/>
      <c r="BG46" s="172"/>
      <c r="BH46" s="173"/>
      <c r="BI46" s="102"/>
    </row>
    <row r="47" spans="1:61" ht="15.95" customHeight="1" x14ac:dyDescent="0.5">
      <c r="A47" s="98"/>
      <c r="B47" s="128"/>
      <c r="C47" s="127"/>
      <c r="D47" s="127"/>
      <c r="E47" s="93"/>
      <c r="F47" s="93"/>
      <c r="G47" s="93" t="s">
        <v>123</v>
      </c>
      <c r="H47" s="93"/>
      <c r="I47" s="93"/>
      <c r="J47" s="93"/>
      <c r="K47" s="93"/>
      <c r="L47" s="93"/>
      <c r="M47" s="93"/>
      <c r="N47" s="207" t="str">
        <f>IF(Doc_No="","",IF(BN23=TRUE,INDEX(WHT_Desc1,MATCH(Doc_No,WHT_Doc_No,0)),""))</f>
        <v/>
      </c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93"/>
      <c r="AK47" s="199"/>
      <c r="AL47" s="200"/>
      <c r="AM47" s="200"/>
      <c r="AN47" s="200"/>
      <c r="AO47" s="200"/>
      <c r="AP47" s="200"/>
      <c r="AQ47" s="200"/>
      <c r="AR47" s="201"/>
      <c r="AS47" s="180"/>
      <c r="AT47" s="181"/>
      <c r="AU47" s="181"/>
      <c r="AV47" s="181"/>
      <c r="AW47" s="181"/>
      <c r="AX47" s="181"/>
      <c r="AY47" s="181"/>
      <c r="AZ47" s="182"/>
      <c r="BA47" s="170"/>
      <c r="BB47" s="171"/>
      <c r="BC47" s="172"/>
      <c r="BD47" s="172"/>
      <c r="BE47" s="172"/>
      <c r="BF47" s="172"/>
      <c r="BG47" s="172"/>
      <c r="BH47" s="173"/>
      <c r="BI47" s="102"/>
    </row>
    <row r="48" spans="1:61" ht="15.95" customHeight="1" x14ac:dyDescent="0.5">
      <c r="A48" s="98"/>
      <c r="B48" s="242" t="s">
        <v>16</v>
      </c>
      <c r="C48" s="243"/>
      <c r="D48" s="93" t="s">
        <v>19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199"/>
      <c r="AL48" s="200"/>
      <c r="AM48" s="200"/>
      <c r="AN48" s="200"/>
      <c r="AO48" s="200"/>
      <c r="AP48" s="200"/>
      <c r="AQ48" s="200"/>
      <c r="AR48" s="201"/>
      <c r="AS48" s="180"/>
      <c r="AT48" s="181"/>
      <c r="AU48" s="181"/>
      <c r="AV48" s="181"/>
      <c r="AW48" s="181"/>
      <c r="AX48" s="181"/>
      <c r="AY48" s="181"/>
      <c r="AZ48" s="182"/>
      <c r="BA48" s="170"/>
      <c r="BB48" s="171"/>
      <c r="BC48" s="172"/>
      <c r="BD48" s="172"/>
      <c r="BE48" s="172"/>
      <c r="BF48" s="172"/>
      <c r="BG48" s="172"/>
      <c r="BH48" s="173"/>
      <c r="BI48" s="102"/>
    </row>
    <row r="49" spans="1:67" ht="15.95" customHeight="1" x14ac:dyDescent="0.5">
      <c r="A49" s="98"/>
      <c r="B49" s="242"/>
      <c r="C49" s="243"/>
      <c r="D49" s="93" t="s">
        <v>36</v>
      </c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199"/>
      <c r="AL49" s="200"/>
      <c r="AM49" s="200"/>
      <c r="AN49" s="200"/>
      <c r="AO49" s="200"/>
      <c r="AP49" s="200"/>
      <c r="AQ49" s="200"/>
      <c r="AR49" s="201"/>
      <c r="AS49" s="180"/>
      <c r="AT49" s="181"/>
      <c r="AU49" s="181"/>
      <c r="AV49" s="181"/>
      <c r="AW49" s="181"/>
      <c r="AX49" s="181"/>
      <c r="AY49" s="181"/>
      <c r="AZ49" s="182"/>
      <c r="BA49" s="170"/>
      <c r="BB49" s="171"/>
      <c r="BC49" s="172"/>
      <c r="BD49" s="172"/>
      <c r="BE49" s="172"/>
      <c r="BF49" s="172"/>
      <c r="BG49" s="172"/>
      <c r="BH49" s="173"/>
      <c r="BI49" s="102"/>
    </row>
    <row r="50" spans="1:67" ht="15.95" customHeight="1" x14ac:dyDescent="0.5">
      <c r="A50" s="98"/>
      <c r="B50" s="242"/>
      <c r="C50" s="243"/>
      <c r="D50" s="93" t="s">
        <v>33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199"/>
      <c r="AL50" s="200"/>
      <c r="AM50" s="200"/>
      <c r="AN50" s="200"/>
      <c r="AO50" s="200"/>
      <c r="AP50" s="200"/>
      <c r="AQ50" s="200"/>
      <c r="AR50" s="201"/>
      <c r="AS50" s="180"/>
      <c r="AT50" s="181"/>
      <c r="AU50" s="181"/>
      <c r="AV50" s="181"/>
      <c r="AW50" s="181"/>
      <c r="AX50" s="181"/>
      <c r="AY50" s="181"/>
      <c r="AZ50" s="182"/>
      <c r="BA50" s="170"/>
      <c r="BB50" s="171"/>
      <c r="BC50" s="172"/>
      <c r="BD50" s="172"/>
      <c r="BE50" s="172"/>
      <c r="BF50" s="172"/>
      <c r="BG50" s="172"/>
      <c r="BH50" s="173"/>
      <c r="BI50" s="102"/>
    </row>
    <row r="51" spans="1:67" ht="15.95" customHeight="1" x14ac:dyDescent="0.5">
      <c r="A51" s="98"/>
      <c r="B51" s="242"/>
      <c r="C51" s="243"/>
      <c r="D51" s="93" t="s">
        <v>124</v>
      </c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167"/>
      <c r="AL51" s="168"/>
      <c r="AM51" s="168"/>
      <c r="AN51" s="168"/>
      <c r="AO51" s="168"/>
      <c r="AP51" s="168"/>
      <c r="AQ51" s="168"/>
      <c r="AR51" s="169"/>
      <c r="AS51" s="180"/>
      <c r="AT51" s="181"/>
      <c r="AU51" s="181"/>
      <c r="AV51" s="181"/>
      <c r="AW51" s="181"/>
      <c r="AX51" s="181"/>
      <c r="AY51" s="181"/>
      <c r="AZ51" s="181"/>
      <c r="BA51" s="170"/>
      <c r="BB51" s="171"/>
      <c r="BC51" s="172"/>
      <c r="BD51" s="172"/>
      <c r="BE51" s="172"/>
      <c r="BF51" s="172"/>
      <c r="BG51" s="172"/>
      <c r="BH51" s="173"/>
      <c r="BI51" s="102"/>
    </row>
    <row r="52" spans="1:67" ht="15.95" customHeight="1" x14ac:dyDescent="0.5">
      <c r="A52" s="98"/>
      <c r="B52" s="272">
        <v>6</v>
      </c>
      <c r="C52" s="273"/>
      <c r="D52" s="93" t="s">
        <v>125</v>
      </c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  <c r="AE52" s="254"/>
      <c r="AF52" s="254"/>
      <c r="AG52" s="254"/>
      <c r="AH52" s="254"/>
      <c r="AI52" s="254"/>
      <c r="AK52" s="331"/>
      <c r="AL52" s="332"/>
      <c r="AM52" s="332"/>
      <c r="AN52" s="332"/>
      <c r="AO52" s="332"/>
      <c r="AP52" s="332"/>
      <c r="AQ52" s="332"/>
      <c r="AR52" s="333"/>
      <c r="AS52" s="329"/>
      <c r="AT52" s="329"/>
      <c r="AU52" s="329"/>
      <c r="AV52" s="329"/>
      <c r="AW52" s="329"/>
      <c r="AX52" s="329"/>
      <c r="AY52" s="329"/>
      <c r="AZ52" s="180"/>
      <c r="BA52" s="225"/>
      <c r="BB52" s="226"/>
      <c r="BC52" s="176"/>
      <c r="BD52" s="176"/>
      <c r="BE52" s="176"/>
      <c r="BF52" s="176"/>
      <c r="BG52" s="176"/>
      <c r="BH52" s="177"/>
      <c r="BI52" s="102"/>
    </row>
    <row r="53" spans="1:67" ht="5.0999999999999996" customHeight="1" thickBot="1" x14ac:dyDescent="0.55000000000000004">
      <c r="A53" s="98"/>
      <c r="B53" s="252"/>
      <c r="C53" s="253"/>
      <c r="D53" s="132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33"/>
      <c r="AL53" s="196"/>
      <c r="AM53" s="196"/>
      <c r="AN53" s="196"/>
      <c r="AO53" s="196"/>
      <c r="AP53" s="196"/>
      <c r="AQ53" s="196"/>
      <c r="AR53" s="198"/>
      <c r="AS53" s="258"/>
      <c r="AT53" s="247"/>
      <c r="AU53" s="247"/>
      <c r="AV53" s="247"/>
      <c r="AW53" s="247"/>
      <c r="AX53" s="247"/>
      <c r="AY53" s="247"/>
      <c r="AZ53" s="268"/>
      <c r="BA53" s="258"/>
      <c r="BB53" s="247"/>
      <c r="BC53" s="247"/>
      <c r="BD53" s="247"/>
      <c r="BE53" s="247"/>
      <c r="BF53" s="247"/>
      <c r="BG53" s="247"/>
      <c r="BH53" s="259"/>
      <c r="BI53" s="102"/>
    </row>
    <row r="54" spans="1:67" ht="18" customHeight="1" thickBot="1" x14ac:dyDescent="0.55000000000000004">
      <c r="A54" s="98"/>
      <c r="B54" s="248"/>
      <c r="C54" s="249"/>
      <c r="D54" s="249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249"/>
      <c r="V54" s="249"/>
      <c r="W54" s="249"/>
      <c r="X54" s="249"/>
      <c r="Y54" s="249"/>
      <c r="Z54" s="249"/>
      <c r="AQ54" s="134" t="s">
        <v>20</v>
      </c>
      <c r="AR54" s="135"/>
      <c r="AS54" s="188">
        <v>143695</v>
      </c>
      <c r="AT54" s="189"/>
      <c r="AU54" s="189"/>
      <c r="AV54" s="189"/>
      <c r="AW54" s="189"/>
      <c r="AX54" s="189"/>
      <c r="AY54" s="189"/>
      <c r="AZ54" s="251"/>
      <c r="BA54" s="188">
        <v>290.76</v>
      </c>
      <c r="BB54" s="189"/>
      <c r="BC54" s="189"/>
      <c r="BD54" s="189"/>
      <c r="BE54" s="189"/>
      <c r="BF54" s="189"/>
      <c r="BG54" s="189"/>
      <c r="BH54" s="190"/>
      <c r="BI54" s="102"/>
    </row>
    <row r="55" spans="1:67" ht="5.0999999999999996" customHeight="1" thickTop="1" x14ac:dyDescent="0.5">
      <c r="A55" s="98"/>
      <c r="B55" s="248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49"/>
      <c r="BE55" s="249"/>
      <c r="BF55" s="249"/>
      <c r="BG55" s="249"/>
      <c r="BH55" s="250"/>
      <c r="BI55" s="102"/>
    </row>
    <row r="56" spans="1:67" ht="18" customHeight="1" x14ac:dyDescent="0.5">
      <c r="A56" s="98"/>
      <c r="B56" s="136" t="s">
        <v>37</v>
      </c>
      <c r="P56" s="261" t="s">
        <v>132</v>
      </c>
      <c r="Q56" s="262"/>
      <c r="R56" s="262"/>
      <c r="S56" s="262"/>
      <c r="T56" s="262"/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262"/>
      <c r="AU56" s="262"/>
      <c r="AV56" s="262"/>
      <c r="AW56" s="262"/>
      <c r="AX56" s="262"/>
      <c r="AY56" s="262"/>
      <c r="AZ56" s="262"/>
      <c r="BA56" s="262"/>
      <c r="BB56" s="262"/>
      <c r="BC56" s="262"/>
      <c r="BD56" s="262"/>
      <c r="BE56" s="262"/>
      <c r="BF56" s="262"/>
      <c r="BG56" s="263"/>
      <c r="BH56" s="102"/>
      <c r="BI56" s="102"/>
    </row>
    <row r="57" spans="1:67" ht="5.0999999999999996" customHeight="1" thickBot="1" x14ac:dyDescent="0.55000000000000004">
      <c r="A57" s="98"/>
      <c r="B57" s="122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1"/>
      <c r="BA57" s="101"/>
      <c r="BB57" s="101"/>
      <c r="BC57" s="101"/>
      <c r="BD57" s="101"/>
      <c r="BE57" s="101"/>
      <c r="BF57" s="101"/>
      <c r="BG57" s="101"/>
      <c r="BH57" s="123"/>
      <c r="BI57" s="102"/>
    </row>
    <row r="58" spans="1:67" ht="18" customHeight="1" x14ac:dyDescent="0.5">
      <c r="A58" s="98"/>
      <c r="B58" s="137" t="s">
        <v>72</v>
      </c>
      <c r="C58" s="138"/>
      <c r="D58" s="138"/>
      <c r="E58" s="138"/>
      <c r="F58" s="138"/>
      <c r="G58" s="138"/>
      <c r="H58" s="96" t="s">
        <v>73</v>
      </c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215"/>
      <c r="Z58" s="215"/>
      <c r="AA58" s="215"/>
      <c r="AB58" s="215"/>
      <c r="AC58" s="139" t="s">
        <v>74</v>
      </c>
      <c r="AD58" s="139"/>
      <c r="AE58" s="139"/>
      <c r="AF58" s="139"/>
      <c r="AG58" s="139"/>
      <c r="AH58" s="139"/>
      <c r="AI58" s="139"/>
      <c r="AJ58" s="139"/>
      <c r="AK58" s="139"/>
      <c r="AL58" s="140" t="s">
        <v>75</v>
      </c>
      <c r="AM58" s="330">
        <v>0</v>
      </c>
      <c r="AN58" s="330"/>
      <c r="AO58" s="330"/>
      <c r="AP58" s="330"/>
      <c r="AQ58" s="139" t="s">
        <v>74</v>
      </c>
      <c r="AR58" s="139"/>
      <c r="AS58" s="139"/>
      <c r="AT58" s="139"/>
      <c r="AU58" s="139"/>
      <c r="AV58" s="139"/>
      <c r="AW58" s="139"/>
      <c r="AX58" s="139"/>
      <c r="AY58" s="139"/>
      <c r="AZ58" s="139"/>
      <c r="BA58" s="140" t="s">
        <v>76</v>
      </c>
      <c r="BB58" s="215"/>
      <c r="BC58" s="215"/>
      <c r="BD58" s="215"/>
      <c r="BE58" s="215"/>
      <c r="BF58" s="139" t="s">
        <v>74</v>
      </c>
      <c r="BG58" s="139"/>
      <c r="BH58" s="141"/>
      <c r="BI58" s="102"/>
    </row>
    <row r="59" spans="1:67" ht="5.0999999999999996" customHeight="1" thickBot="1" x14ac:dyDescent="0.55000000000000004">
      <c r="A59" s="98"/>
      <c r="B59" s="252"/>
      <c r="C59" s="253"/>
      <c r="D59" s="132"/>
      <c r="E59" s="115"/>
      <c r="F59" s="115"/>
      <c r="G59" s="115"/>
      <c r="H59" s="115"/>
      <c r="I59" s="115"/>
      <c r="J59" s="142"/>
      <c r="K59" s="143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269"/>
      <c r="AM59" s="269"/>
      <c r="AN59" s="269"/>
      <c r="AO59" s="269"/>
      <c r="AP59" s="269"/>
      <c r="AQ59" s="269"/>
      <c r="AR59" s="269"/>
      <c r="AS59" s="247"/>
      <c r="AT59" s="247"/>
      <c r="AU59" s="247"/>
      <c r="AV59" s="247"/>
      <c r="AW59" s="247"/>
      <c r="AX59" s="247"/>
      <c r="AY59" s="247"/>
      <c r="AZ59" s="247"/>
      <c r="BA59" s="247"/>
      <c r="BB59" s="247"/>
      <c r="BC59" s="247"/>
      <c r="BD59" s="247"/>
      <c r="BE59" s="247"/>
      <c r="BF59" s="247"/>
      <c r="BG59" s="247"/>
      <c r="BH59" s="259"/>
      <c r="BI59" s="102"/>
    </row>
    <row r="60" spans="1:67" ht="5.0999999999999996" customHeight="1" thickBot="1" x14ac:dyDescent="0.55000000000000004">
      <c r="A60" s="98"/>
      <c r="B60" s="144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44"/>
      <c r="BI60" s="102"/>
    </row>
    <row r="61" spans="1:67" ht="18" customHeight="1" x14ac:dyDescent="0.5">
      <c r="A61" s="98"/>
      <c r="B61" s="137" t="s">
        <v>21</v>
      </c>
      <c r="C61" s="138"/>
      <c r="D61" s="138"/>
      <c r="E61" s="138"/>
      <c r="F61" s="138"/>
      <c r="G61" s="138"/>
      <c r="H61" s="145"/>
      <c r="I61" s="145"/>
      <c r="J61" s="146" t="s">
        <v>46</v>
      </c>
      <c r="K61" s="145"/>
      <c r="L61" s="145"/>
      <c r="M61" s="145"/>
      <c r="N61" s="145"/>
      <c r="O61" s="145"/>
      <c r="P61" s="145"/>
      <c r="Q61" s="145"/>
      <c r="R61" s="145"/>
      <c r="S61" s="145"/>
      <c r="T61" s="146" t="s">
        <v>47</v>
      </c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6" t="s">
        <v>48</v>
      </c>
      <c r="AF61" s="145"/>
      <c r="AG61" s="145"/>
      <c r="AH61" s="145"/>
      <c r="AI61" s="146"/>
      <c r="AJ61" s="145"/>
      <c r="AK61" s="145"/>
      <c r="AL61" s="145"/>
      <c r="AM61" s="145"/>
      <c r="AN61" s="145"/>
      <c r="AO61" s="145"/>
      <c r="AP61" s="146" t="s">
        <v>126</v>
      </c>
      <c r="AQ61" s="145"/>
      <c r="AR61" s="145"/>
      <c r="AS61" s="145"/>
      <c r="AT61" s="145"/>
      <c r="AU61" s="146"/>
      <c r="AV61" s="266"/>
      <c r="AW61" s="266"/>
      <c r="AX61" s="266"/>
      <c r="AY61" s="266"/>
      <c r="AZ61" s="266"/>
      <c r="BA61" s="266"/>
      <c r="BB61" s="266"/>
      <c r="BC61" s="266"/>
      <c r="BD61" s="266"/>
      <c r="BE61" s="266"/>
      <c r="BF61" s="266"/>
      <c r="BG61" s="266"/>
      <c r="BH61" s="147"/>
      <c r="BI61" s="102"/>
      <c r="BL61" s="121" t="b">
        <v>1</v>
      </c>
      <c r="BM61" s="121" t="b">
        <v>0</v>
      </c>
      <c r="BN61" s="121" t="b">
        <v>0</v>
      </c>
      <c r="BO61" s="121" t="b">
        <v>0</v>
      </c>
    </row>
    <row r="62" spans="1:67" ht="5.0999999999999996" customHeight="1" thickBot="1" x14ac:dyDescent="0.55000000000000004">
      <c r="A62" s="98"/>
      <c r="B62" s="252"/>
      <c r="C62" s="253"/>
      <c r="D62" s="132"/>
      <c r="E62" s="115"/>
      <c r="F62" s="115"/>
      <c r="G62" s="115"/>
      <c r="H62" s="115"/>
      <c r="I62" s="115"/>
      <c r="J62" s="142"/>
      <c r="K62" s="143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269"/>
      <c r="AM62" s="269"/>
      <c r="AN62" s="269"/>
      <c r="AO62" s="269"/>
      <c r="AP62" s="269"/>
      <c r="AQ62" s="269"/>
      <c r="AR62" s="269"/>
      <c r="AS62" s="247"/>
      <c r="AT62" s="247"/>
      <c r="AU62" s="247"/>
      <c r="AV62" s="247"/>
      <c r="AW62" s="247"/>
      <c r="AX62" s="247"/>
      <c r="AY62" s="247"/>
      <c r="AZ62" s="247"/>
      <c r="BA62" s="247"/>
      <c r="BB62" s="247"/>
      <c r="BC62" s="247"/>
      <c r="BD62" s="247"/>
      <c r="BE62" s="247"/>
      <c r="BF62" s="247"/>
      <c r="BG62" s="247"/>
      <c r="BH62" s="259"/>
      <c r="BI62" s="102"/>
    </row>
    <row r="63" spans="1:67" ht="5.0999999999999996" customHeight="1" thickBot="1" x14ac:dyDescent="0.55000000000000004">
      <c r="A63" s="98"/>
      <c r="B63" s="148"/>
      <c r="C63" s="148"/>
      <c r="D63" s="149"/>
      <c r="E63" s="150"/>
      <c r="F63" s="150"/>
      <c r="G63" s="150"/>
      <c r="H63" s="150"/>
      <c r="I63" s="150"/>
      <c r="J63" s="151"/>
      <c r="K63" s="152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39"/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3"/>
      <c r="AM63" s="153"/>
      <c r="AN63" s="153"/>
      <c r="AO63" s="153"/>
      <c r="AP63" s="153"/>
      <c r="AQ63" s="153"/>
      <c r="AR63" s="153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02"/>
    </row>
    <row r="64" spans="1:67" ht="15.95" customHeight="1" x14ac:dyDescent="0.5">
      <c r="A64" s="98"/>
      <c r="B64" s="155"/>
      <c r="C64" s="156" t="s">
        <v>35</v>
      </c>
      <c r="D64" s="93"/>
      <c r="E64" s="93"/>
      <c r="F64" s="157"/>
      <c r="G64" s="157" t="s">
        <v>49</v>
      </c>
      <c r="H64" s="158"/>
      <c r="I64" s="158"/>
      <c r="J64" s="158"/>
      <c r="K64" s="158"/>
      <c r="L64" s="158"/>
      <c r="M64" s="158"/>
      <c r="N64" s="158"/>
      <c r="Z64" s="159"/>
      <c r="AB64" s="99" t="s">
        <v>22</v>
      </c>
      <c r="BH64" s="102"/>
      <c r="BI64" s="102"/>
    </row>
    <row r="65" spans="1:61" ht="15.95" customHeight="1" x14ac:dyDescent="0.5">
      <c r="A65" s="98"/>
      <c r="B65" s="155"/>
      <c r="C65" s="156"/>
      <c r="D65" s="93"/>
      <c r="E65" s="93"/>
      <c r="F65" s="157"/>
      <c r="G65" s="157" t="s">
        <v>50</v>
      </c>
      <c r="H65" s="158"/>
      <c r="I65" s="158"/>
      <c r="J65" s="158"/>
      <c r="K65" s="158"/>
      <c r="L65" s="158"/>
      <c r="M65" s="158"/>
      <c r="N65" s="158"/>
      <c r="Z65" s="159"/>
      <c r="AF65" s="108" t="s">
        <v>53</v>
      </c>
      <c r="AG65" s="241"/>
      <c r="AH65" s="241"/>
      <c r="AI65" s="241"/>
      <c r="AJ65" s="241"/>
      <c r="AK65" s="241"/>
      <c r="AL65" s="241"/>
      <c r="AM65" s="241"/>
      <c r="AN65" s="241"/>
      <c r="AO65" s="241"/>
      <c r="AP65" s="241"/>
      <c r="AQ65" s="241"/>
      <c r="AR65" s="241"/>
      <c r="AS65" s="241"/>
      <c r="AT65" s="241"/>
      <c r="AU65" s="241"/>
      <c r="AV65" s="241"/>
      <c r="AW65" s="99" t="s">
        <v>21</v>
      </c>
      <c r="BH65" s="102"/>
      <c r="BI65" s="102"/>
    </row>
    <row r="66" spans="1:61" ht="15.95" customHeight="1" x14ac:dyDescent="0.5">
      <c r="A66" s="98"/>
      <c r="B66" s="239"/>
      <c r="C66" s="240"/>
      <c r="D66" s="127"/>
      <c r="E66" s="93"/>
      <c r="F66" s="157"/>
      <c r="G66" s="157" t="s">
        <v>51</v>
      </c>
      <c r="H66" s="157"/>
      <c r="I66" s="157"/>
      <c r="J66" s="157"/>
      <c r="K66" s="157"/>
      <c r="L66" s="157"/>
      <c r="M66" s="157"/>
      <c r="N66" s="157"/>
      <c r="O66" s="161"/>
      <c r="P66" s="161"/>
      <c r="Q66" s="161"/>
      <c r="R66" s="161"/>
      <c r="S66" s="161"/>
      <c r="T66" s="161"/>
      <c r="Z66" s="159"/>
      <c r="AF66" s="108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41"/>
      <c r="AR66" s="241"/>
      <c r="AS66" s="241"/>
      <c r="AT66" s="241"/>
      <c r="AU66" s="241"/>
      <c r="AV66" s="241"/>
      <c r="BH66" s="102"/>
      <c r="BI66" s="102"/>
    </row>
    <row r="67" spans="1:61" ht="15.95" customHeight="1" x14ac:dyDescent="0.5">
      <c r="A67" s="98"/>
      <c r="B67" s="160"/>
      <c r="C67" s="158"/>
      <c r="D67" s="158"/>
      <c r="E67" s="158"/>
      <c r="F67" s="157"/>
      <c r="G67" s="157" t="s">
        <v>52</v>
      </c>
      <c r="H67" s="157"/>
      <c r="I67" s="157"/>
      <c r="J67" s="157"/>
      <c r="K67" s="157"/>
      <c r="L67" s="157"/>
      <c r="M67" s="157"/>
      <c r="N67" s="158"/>
      <c r="Z67" s="159"/>
      <c r="AI67" s="238" t="s">
        <v>128</v>
      </c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100"/>
      <c r="AV67" s="100"/>
      <c r="AW67" s="100"/>
      <c r="AX67" s="100"/>
      <c r="AY67" s="100"/>
      <c r="AZ67" s="100"/>
      <c r="BH67" s="102"/>
      <c r="BI67" s="102"/>
    </row>
    <row r="68" spans="1:61" ht="15.95" customHeight="1" x14ac:dyDescent="0.5">
      <c r="A68" s="98"/>
      <c r="B68" s="239"/>
      <c r="C68" s="240"/>
      <c r="D68" s="93"/>
      <c r="E68" s="93"/>
      <c r="F68" s="157"/>
      <c r="H68" s="157"/>
      <c r="I68" s="157"/>
      <c r="J68" s="157"/>
      <c r="K68" s="157"/>
      <c r="L68" s="157"/>
      <c r="M68" s="157"/>
      <c r="N68" s="93"/>
      <c r="T68" s="100"/>
      <c r="U68" s="100"/>
      <c r="V68" s="100"/>
      <c r="Z68" s="159"/>
      <c r="AE68" s="93"/>
      <c r="AF68" s="93"/>
      <c r="AG68" s="93"/>
      <c r="AI68" s="335" t="s">
        <v>54</v>
      </c>
      <c r="AJ68" s="335"/>
      <c r="AK68" s="335"/>
      <c r="AL68" s="335"/>
      <c r="AM68" s="335"/>
      <c r="AN68" s="335"/>
      <c r="AO68" s="335"/>
      <c r="AP68" s="335"/>
      <c r="AQ68" s="335"/>
      <c r="AR68" s="335"/>
      <c r="AS68" s="335"/>
      <c r="AT68" s="93"/>
      <c r="AU68" s="93"/>
      <c r="AV68" s="93"/>
      <c r="AW68" s="93"/>
      <c r="AX68" s="93"/>
      <c r="AY68" s="93"/>
      <c r="AZ68" s="93"/>
      <c r="BA68" s="100"/>
      <c r="BH68" s="102"/>
      <c r="BI68" s="102"/>
    </row>
    <row r="69" spans="1:61" ht="3" customHeight="1" thickBot="1" x14ac:dyDescent="0.55000000000000004">
      <c r="A69" s="98"/>
      <c r="B69" s="160"/>
      <c r="C69" s="100"/>
      <c r="D69" s="100"/>
      <c r="E69" s="100"/>
      <c r="F69" s="157"/>
      <c r="G69" s="157"/>
      <c r="H69" s="157"/>
      <c r="I69" s="157"/>
      <c r="J69" s="157"/>
      <c r="K69" s="157"/>
      <c r="L69" s="157"/>
      <c r="M69" s="157"/>
      <c r="N69" s="100"/>
      <c r="T69" s="93"/>
      <c r="U69" s="93"/>
      <c r="V69" s="93"/>
      <c r="W69" s="162"/>
      <c r="X69" s="162"/>
      <c r="Y69" s="162"/>
      <c r="Z69" s="163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100"/>
      <c r="BC69" s="93"/>
      <c r="BH69" s="102"/>
      <c r="BI69" s="102"/>
    </row>
    <row r="70" spans="1:61" ht="5.0999999999999996" customHeight="1" thickBot="1" x14ac:dyDescent="0.55000000000000004">
      <c r="A70" s="114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15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17"/>
    </row>
    <row r="71" spans="1:61" s="93" customFormat="1" ht="15.95" customHeight="1" x14ac:dyDescent="0.5">
      <c r="B71" s="164" t="s">
        <v>34</v>
      </c>
      <c r="C71" s="157"/>
      <c r="E71" s="157"/>
      <c r="F71" s="157"/>
      <c r="G71" s="157" t="s">
        <v>77</v>
      </c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 t="s">
        <v>78</v>
      </c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157"/>
      <c r="BH71" s="157"/>
    </row>
    <row r="72" spans="1:61" s="93" customFormat="1" ht="15.95" customHeight="1" x14ac:dyDescent="0.5">
      <c r="D72" s="156"/>
      <c r="X72" s="93" t="s">
        <v>79</v>
      </c>
    </row>
    <row r="73" spans="1:61" s="93" customFormat="1" ht="15.95" customHeight="1" x14ac:dyDescent="0.5">
      <c r="D73" s="156"/>
      <c r="X73" s="93" t="s">
        <v>80</v>
      </c>
    </row>
    <row r="74" spans="1:61" s="93" customFormat="1" ht="5.0999999999999996" customHeight="1" x14ac:dyDescent="0.5">
      <c r="D74" s="156"/>
    </row>
    <row r="75" spans="1:61" s="93" customFormat="1" ht="12.95" customHeight="1" x14ac:dyDescent="0.5">
      <c r="B75" s="94" t="s">
        <v>82</v>
      </c>
    </row>
    <row r="76" spans="1:61" s="93" customFormat="1" ht="12.95" customHeight="1" x14ac:dyDescent="0.5">
      <c r="B76" s="94" t="s">
        <v>81</v>
      </c>
    </row>
    <row r="77" spans="1:61" s="93" customFormat="1" ht="3" customHeight="1" thickBot="1" x14ac:dyDescent="0.55000000000000004"/>
    <row r="78" spans="1:61" s="93" customFormat="1" ht="18" customHeight="1" x14ac:dyDescent="0.5">
      <c r="A78" s="95"/>
      <c r="B78" s="96"/>
      <c r="C78" s="96"/>
      <c r="D78" s="96"/>
      <c r="E78" s="96"/>
      <c r="F78" s="96"/>
      <c r="G78" s="96"/>
      <c r="H78" s="96"/>
      <c r="I78" s="96"/>
      <c r="J78" s="96"/>
      <c r="K78" s="306" t="s">
        <v>23</v>
      </c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306"/>
      <c r="AZ78" s="96" t="s">
        <v>56</v>
      </c>
      <c r="BA78" s="96"/>
      <c r="BB78" s="96"/>
      <c r="BC78" s="223"/>
      <c r="BD78" s="223"/>
      <c r="BE78" s="223"/>
      <c r="BF78" s="223"/>
      <c r="BG78" s="223"/>
      <c r="BH78" s="223"/>
      <c r="BI78" s="97"/>
    </row>
    <row r="79" spans="1:61" ht="15" customHeight="1" x14ac:dyDescent="0.5">
      <c r="A79" s="98"/>
      <c r="C79" s="100"/>
      <c r="K79" s="249" t="s">
        <v>57</v>
      </c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99" t="s">
        <v>2</v>
      </c>
      <c r="BC79" s="322">
        <f>BC5</f>
        <v>0</v>
      </c>
      <c r="BD79" s="322"/>
      <c r="BE79" s="322"/>
      <c r="BF79" s="322"/>
      <c r="BG79" s="322"/>
      <c r="BH79" s="322"/>
      <c r="BI79" s="102"/>
    </row>
    <row r="80" spans="1:61" ht="5.0999999999999996" customHeight="1" thickBot="1" x14ac:dyDescent="0.55000000000000004">
      <c r="A80" s="98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  <c r="Z80" s="222"/>
      <c r="AA80" s="222"/>
      <c r="AB80" s="222"/>
      <c r="AC80" s="222"/>
      <c r="AD80" s="222"/>
      <c r="AE80" s="222"/>
      <c r="AF80" s="222"/>
      <c r="AG80" s="222"/>
      <c r="AH80" s="222"/>
      <c r="AI80" s="222"/>
      <c r="AJ80" s="222"/>
      <c r="AK80" s="222"/>
      <c r="AL80" s="222"/>
      <c r="AM80" s="222"/>
      <c r="AN80" s="222"/>
      <c r="AO80" s="222"/>
      <c r="AP80" s="222"/>
      <c r="AQ80" s="222"/>
      <c r="AR80" s="222"/>
      <c r="AS80" s="222"/>
      <c r="AT80" s="22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2"/>
      <c r="BF80" s="222"/>
      <c r="BG80" s="222"/>
      <c r="BH80" s="222"/>
      <c r="BI80" s="102"/>
    </row>
    <row r="81" spans="1:61" ht="5.0999999999999996" customHeight="1" x14ac:dyDescent="0.5">
      <c r="A81" s="98"/>
      <c r="B81" s="103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5"/>
      <c r="BI81" s="102"/>
    </row>
    <row r="82" spans="1:61" ht="18" customHeight="1" x14ac:dyDescent="0.5">
      <c r="A82" s="98"/>
      <c r="B82" s="106" t="s">
        <v>58</v>
      </c>
      <c r="C82" s="107"/>
      <c r="AC82" s="108" t="s">
        <v>59</v>
      </c>
      <c r="AD82" s="216">
        <f>AD8</f>
        <v>0</v>
      </c>
      <c r="AE82" s="217"/>
      <c r="AF82" s="166"/>
      <c r="AG82" s="213">
        <f>AG8</f>
        <v>2</v>
      </c>
      <c r="AH82" s="214"/>
      <c r="AI82" s="214">
        <f>AI8</f>
        <v>0</v>
      </c>
      <c r="AJ82" s="214"/>
      <c r="AK82" s="214">
        <f>AK8</f>
        <v>5</v>
      </c>
      <c r="AL82" s="214"/>
      <c r="AM82" s="214">
        <f>AM8</f>
        <v>5</v>
      </c>
      <c r="AN82" s="219"/>
      <c r="AO82" s="166"/>
      <c r="AP82" s="213">
        <f>AP8</f>
        <v>6</v>
      </c>
      <c r="AQ82" s="214"/>
      <c r="AR82" s="214">
        <f>AR8</f>
        <v>0</v>
      </c>
      <c r="AS82" s="214"/>
      <c r="AT82" s="214">
        <f>AT8</f>
        <v>0</v>
      </c>
      <c r="AU82" s="214"/>
      <c r="AV82" s="214">
        <f>AV8</f>
        <v>4</v>
      </c>
      <c r="AW82" s="214"/>
      <c r="AX82" s="214">
        <f>AX8</f>
        <v>0</v>
      </c>
      <c r="AY82" s="219"/>
      <c r="AZ82" s="166"/>
      <c r="BA82" s="213">
        <f>BA8</f>
        <v>5</v>
      </c>
      <c r="BB82" s="214"/>
      <c r="BC82" s="214">
        <f>BC8</f>
        <v>0</v>
      </c>
      <c r="BD82" s="219"/>
      <c r="BE82" s="166"/>
      <c r="BF82" s="216">
        <f>BF8</f>
        <v>7</v>
      </c>
      <c r="BG82" s="217"/>
      <c r="BH82" s="102"/>
      <c r="BI82" s="102"/>
    </row>
    <row r="83" spans="1:61" ht="5.0999999999999996" customHeight="1" x14ac:dyDescent="0.5">
      <c r="A83" s="98"/>
      <c r="B83" s="109"/>
      <c r="C83" s="107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H83" s="102"/>
      <c r="BI83" s="102"/>
    </row>
    <row r="84" spans="1:61" ht="18" customHeight="1" x14ac:dyDescent="0.5">
      <c r="A84" s="98"/>
      <c r="B84" s="98" t="s">
        <v>0</v>
      </c>
      <c r="D84" s="235" t="str">
        <f>D10</f>
        <v>บริษัท พรีเมี่ยม ซีเนียร์ แคร์ เซ็นเตอร์ จำกัด</v>
      </c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AI84" s="108" t="s">
        <v>3</v>
      </c>
      <c r="AK84" s="230"/>
      <c r="AL84" s="231"/>
      <c r="AM84" s="93"/>
      <c r="AN84" s="218"/>
      <c r="AO84" s="205"/>
      <c r="AP84" s="205"/>
      <c r="AQ84" s="205"/>
      <c r="AR84" s="205"/>
      <c r="AS84" s="205"/>
      <c r="AT84" s="205"/>
      <c r="AU84" s="208"/>
      <c r="AV84" s="93"/>
      <c r="AW84" s="218"/>
      <c r="AX84" s="205"/>
      <c r="AY84" s="205"/>
      <c r="AZ84" s="205"/>
      <c r="BA84" s="205"/>
      <c r="BB84" s="205"/>
      <c r="BC84" s="205"/>
      <c r="BD84" s="208"/>
      <c r="BE84" s="93"/>
      <c r="BF84" s="230"/>
      <c r="BG84" s="231"/>
      <c r="BH84" s="102"/>
      <c r="BI84" s="102"/>
    </row>
    <row r="85" spans="1:61" ht="12.95" customHeight="1" x14ac:dyDescent="0.5">
      <c r="A85" s="98"/>
      <c r="B85" s="98"/>
      <c r="E85" s="110" t="s">
        <v>24</v>
      </c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02"/>
      <c r="BI85" s="102"/>
    </row>
    <row r="86" spans="1:61" ht="15.95" customHeight="1" x14ac:dyDescent="0.5">
      <c r="A86" s="98"/>
      <c r="B86" s="98" t="s">
        <v>1</v>
      </c>
      <c r="D86" s="233">
        <f>D12</f>
        <v>0</v>
      </c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102"/>
      <c r="BI86" s="102"/>
    </row>
    <row r="87" spans="1:61" ht="12.95" customHeight="1" x14ac:dyDescent="0.5">
      <c r="A87" s="98"/>
      <c r="B87" s="98"/>
      <c r="E87" s="112" t="s">
        <v>60</v>
      </c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02"/>
      <c r="BI87" s="102"/>
    </row>
    <row r="88" spans="1:61" ht="5.0999999999999996" customHeight="1" thickBot="1" x14ac:dyDescent="0.55000000000000004">
      <c r="A88" s="98"/>
      <c r="B88" s="114"/>
      <c r="C88" s="115"/>
      <c r="D88" s="115"/>
      <c r="E88" s="116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115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7"/>
      <c r="BI88" s="102"/>
    </row>
    <row r="89" spans="1:61" ht="5.0999999999999996" customHeight="1" x14ac:dyDescent="0.5">
      <c r="A89" s="98"/>
      <c r="B89" s="103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5"/>
      <c r="BI89" s="102"/>
    </row>
    <row r="90" spans="1:61" ht="18" customHeight="1" x14ac:dyDescent="0.5">
      <c r="A90" s="98"/>
      <c r="B90" s="106" t="s">
        <v>64</v>
      </c>
      <c r="C90" s="107"/>
      <c r="AC90" s="108" t="s">
        <v>59</v>
      </c>
      <c r="AD90" s="216">
        <f>AD16</f>
        <v>3</v>
      </c>
      <c r="AE90" s="217"/>
      <c r="AF90" s="166"/>
      <c r="AG90" s="213">
        <f>AG16</f>
        <v>1</v>
      </c>
      <c r="AH90" s="214"/>
      <c r="AI90" s="214">
        <f>AI16</f>
        <v>0</v>
      </c>
      <c r="AJ90" s="214"/>
      <c r="AK90" s="214">
        <f>AK16</f>
        <v>2</v>
      </c>
      <c r="AL90" s="214"/>
      <c r="AM90" s="214">
        <f>AM16</f>
        <v>3</v>
      </c>
      <c r="AN90" s="219"/>
      <c r="AO90" s="166"/>
      <c r="AP90" s="213">
        <f>AP16</f>
        <v>0</v>
      </c>
      <c r="AQ90" s="214"/>
      <c r="AR90" s="214">
        <f>AR16</f>
        <v>0</v>
      </c>
      <c r="AS90" s="214"/>
      <c r="AT90" s="214">
        <f>AT16</f>
        <v>2</v>
      </c>
      <c r="AU90" s="214"/>
      <c r="AV90" s="214">
        <f>AV16</f>
        <v>2</v>
      </c>
      <c r="AW90" s="214"/>
      <c r="AX90" s="214">
        <f>AX16</f>
        <v>7</v>
      </c>
      <c r="AY90" s="219"/>
      <c r="AZ90" s="166"/>
      <c r="BA90" s="213">
        <f>BA16</f>
        <v>1</v>
      </c>
      <c r="BB90" s="214"/>
      <c r="BC90" s="214">
        <f>BC16</f>
        <v>1</v>
      </c>
      <c r="BD90" s="219"/>
      <c r="BE90" s="166"/>
      <c r="BF90" s="216">
        <f>BF16</f>
        <v>1</v>
      </c>
      <c r="BG90" s="217"/>
      <c r="BH90" s="102"/>
      <c r="BI90" s="102"/>
    </row>
    <row r="91" spans="1:61" ht="5.0999999999999996" customHeight="1" x14ac:dyDescent="0.5">
      <c r="A91" s="98"/>
      <c r="B91" s="109"/>
      <c r="C91" s="107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H91" s="102"/>
      <c r="BI91" s="102"/>
    </row>
    <row r="92" spans="1:61" ht="18" customHeight="1" x14ac:dyDescent="0.5">
      <c r="A92" s="98"/>
      <c r="B92" s="98" t="s">
        <v>0</v>
      </c>
      <c r="D92" s="234" t="str">
        <f>D18</f>
        <v>น.ส. อาริศสา แสงปัญญา</v>
      </c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4"/>
      <c r="T92" s="234"/>
      <c r="U92" s="234"/>
      <c r="V92" s="234"/>
      <c r="W92" s="234"/>
      <c r="AI92" s="108" t="s">
        <v>3</v>
      </c>
      <c r="AK92" s="230"/>
      <c r="AL92" s="231"/>
      <c r="AM92" s="93"/>
      <c r="AN92" s="218"/>
      <c r="AO92" s="205"/>
      <c r="AP92" s="205"/>
      <c r="AQ92" s="205"/>
      <c r="AR92" s="205"/>
      <c r="AS92" s="205"/>
      <c r="AT92" s="205"/>
      <c r="AU92" s="208"/>
      <c r="AV92" s="93"/>
      <c r="AW92" s="218"/>
      <c r="AX92" s="205"/>
      <c r="AY92" s="205"/>
      <c r="AZ92" s="205"/>
      <c r="BA92" s="205"/>
      <c r="BB92" s="205"/>
      <c r="BC92" s="205"/>
      <c r="BD92" s="208"/>
      <c r="BE92" s="93"/>
      <c r="BF92" s="230"/>
      <c r="BG92" s="231"/>
      <c r="BH92" s="102"/>
      <c r="BI92" s="102"/>
    </row>
    <row r="93" spans="1:61" ht="12.95" customHeight="1" x14ac:dyDescent="0.5">
      <c r="A93" s="98"/>
      <c r="B93" s="98"/>
      <c r="E93" s="110" t="s">
        <v>24</v>
      </c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02"/>
      <c r="BI93" s="102"/>
    </row>
    <row r="94" spans="1:61" ht="15.95" customHeight="1" x14ac:dyDescent="0.5">
      <c r="A94" s="98"/>
      <c r="B94" s="98" t="s">
        <v>1</v>
      </c>
      <c r="D94" s="233" t="str">
        <f>D20</f>
        <v>93/207 หมู่ที่ 11 ต.บางนมโค อ.เสนา จ.พระนครศรีอยุธยา</v>
      </c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102"/>
      <c r="BI94" s="102"/>
    </row>
    <row r="95" spans="1:61" ht="12.95" customHeight="1" x14ac:dyDescent="0.5">
      <c r="A95" s="98"/>
      <c r="B95" s="98"/>
      <c r="E95" s="112" t="s">
        <v>60</v>
      </c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  <c r="AM95" s="113"/>
      <c r="AN95" s="113"/>
      <c r="AO95" s="113"/>
      <c r="AP95" s="113"/>
      <c r="AQ95" s="113"/>
      <c r="AR95" s="113"/>
      <c r="AS95" s="113"/>
      <c r="AT95" s="113"/>
      <c r="AU95" s="113"/>
      <c r="AV95" s="113"/>
      <c r="AW95" s="113"/>
      <c r="AX95" s="113"/>
      <c r="AY95" s="113"/>
      <c r="AZ95" s="113"/>
      <c r="BA95" s="113"/>
      <c r="BB95" s="113"/>
      <c r="BC95" s="113"/>
      <c r="BD95" s="113"/>
      <c r="BE95" s="113"/>
      <c r="BF95" s="113"/>
      <c r="BG95" s="113"/>
      <c r="BH95" s="102"/>
      <c r="BI95" s="102"/>
    </row>
    <row r="96" spans="1:61" ht="5.0999999999999996" customHeight="1" x14ac:dyDescent="0.5">
      <c r="A96" s="98"/>
      <c r="B96" s="98"/>
      <c r="E96" s="118"/>
      <c r="BH96" s="102"/>
      <c r="BI96" s="102"/>
    </row>
    <row r="97" spans="1:61" ht="15.95" customHeight="1" x14ac:dyDescent="0.45">
      <c r="A97" s="98"/>
      <c r="B97" s="98" t="s">
        <v>63</v>
      </c>
      <c r="E97" s="112"/>
      <c r="F97" s="230"/>
      <c r="G97" s="312"/>
      <c r="H97" s="312"/>
      <c r="I97" s="312"/>
      <c r="J97" s="231"/>
      <c r="L97" s="99" t="s">
        <v>4</v>
      </c>
      <c r="P97" s="119"/>
      <c r="Q97" s="119"/>
      <c r="R97" s="119"/>
      <c r="S97" s="119"/>
      <c r="Y97" s="206" t="s">
        <v>71</v>
      </c>
      <c r="Z97" s="206"/>
      <c r="AA97" s="206"/>
      <c r="AB97" s="206"/>
      <c r="AC97" s="206"/>
      <c r="AD97" s="206"/>
      <c r="AE97" s="206"/>
      <c r="AF97" s="206"/>
      <c r="AH97" s="206" t="s">
        <v>68</v>
      </c>
      <c r="AI97" s="206"/>
      <c r="AJ97" s="206"/>
      <c r="AK97" s="206"/>
      <c r="AL97" s="206"/>
      <c r="AM97" s="206"/>
      <c r="AN97" s="206"/>
      <c r="AO97" s="206"/>
      <c r="AP97" s="206"/>
      <c r="AR97" s="229" t="s">
        <v>66</v>
      </c>
      <c r="AS97" s="229"/>
      <c r="AT97" s="229"/>
      <c r="AU97" s="229"/>
      <c r="AV97" s="229"/>
      <c r="AW97" s="229"/>
      <c r="AX97" s="229"/>
      <c r="AY97" s="229"/>
      <c r="BA97" s="229" t="s">
        <v>65</v>
      </c>
      <c r="BB97" s="229"/>
      <c r="BC97" s="229"/>
      <c r="BD97" s="229"/>
      <c r="BE97" s="229"/>
      <c r="BF97" s="229"/>
      <c r="BG97" s="229"/>
      <c r="BH97" s="102"/>
      <c r="BI97" s="102"/>
    </row>
    <row r="98" spans="1:61" ht="5.0999999999999996" customHeight="1" x14ac:dyDescent="0.5">
      <c r="A98" s="98"/>
      <c r="B98" s="248"/>
      <c r="C98" s="249"/>
      <c r="D98" s="249"/>
      <c r="E98" s="249"/>
      <c r="F98" s="249"/>
      <c r="G98" s="249"/>
      <c r="H98" s="249"/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249"/>
      <c r="AW98" s="249"/>
      <c r="AX98" s="249"/>
      <c r="AY98" s="249"/>
      <c r="AZ98" s="249"/>
      <c r="BA98" s="249"/>
      <c r="BB98" s="249"/>
      <c r="BC98" s="249"/>
      <c r="BD98" s="249"/>
      <c r="BE98" s="249"/>
      <c r="BF98" s="249"/>
      <c r="BG98" s="249"/>
      <c r="BH98" s="250"/>
      <c r="BI98" s="102"/>
    </row>
    <row r="99" spans="1:61" ht="9.9499999999999993" customHeight="1" x14ac:dyDescent="0.45">
      <c r="A99" s="98"/>
      <c r="B99" s="124" t="s">
        <v>61</v>
      </c>
      <c r="P99" s="125"/>
      <c r="R99" s="119"/>
      <c r="Y99" s="206" t="s">
        <v>70</v>
      </c>
      <c r="Z99" s="206"/>
      <c r="AA99" s="206"/>
      <c r="AB99" s="206"/>
      <c r="AC99" s="206"/>
      <c r="AD99" s="206"/>
      <c r="AE99" s="206"/>
      <c r="AF99" s="206"/>
      <c r="AH99" s="206" t="s">
        <v>69</v>
      </c>
      <c r="AI99" s="206"/>
      <c r="AJ99" s="206"/>
      <c r="AK99" s="206"/>
      <c r="AL99" s="206"/>
      <c r="AM99" s="206"/>
      <c r="AN99" s="206"/>
      <c r="AO99" s="206"/>
      <c r="AP99" s="206"/>
      <c r="AR99" s="229" t="s">
        <v>67</v>
      </c>
      <c r="AS99" s="229"/>
      <c r="AT99" s="229"/>
      <c r="AU99" s="229"/>
      <c r="AV99" s="229"/>
      <c r="AW99" s="229"/>
      <c r="AX99" s="229"/>
      <c r="AY99" s="229"/>
      <c r="BH99" s="102"/>
      <c r="BI99" s="102"/>
    </row>
    <row r="100" spans="1:61" ht="9.9499999999999993" customHeight="1" x14ac:dyDescent="0.5">
      <c r="A100" s="98"/>
      <c r="B100" s="124" t="s">
        <v>62</v>
      </c>
      <c r="R100" s="120"/>
      <c r="Y100" s="206"/>
      <c r="Z100" s="206"/>
      <c r="AA100" s="206"/>
      <c r="AB100" s="206"/>
      <c r="AC100" s="206"/>
      <c r="AD100" s="206"/>
      <c r="AE100" s="206"/>
      <c r="AF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120"/>
      <c r="AR100" s="229"/>
      <c r="AS100" s="229"/>
      <c r="AT100" s="229"/>
      <c r="AU100" s="229"/>
      <c r="AV100" s="229"/>
      <c r="AW100" s="229"/>
      <c r="AX100" s="229"/>
      <c r="AY100" s="229"/>
      <c r="BH100" s="102"/>
      <c r="BI100" s="102"/>
    </row>
    <row r="101" spans="1:61" ht="5.0999999999999996" customHeight="1" thickBot="1" x14ac:dyDescent="0.55000000000000004">
      <c r="A101" s="98"/>
      <c r="B101" s="195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  <c r="AS101" s="196"/>
      <c r="AT101" s="196"/>
      <c r="AU101" s="196"/>
      <c r="AV101" s="196"/>
      <c r="AW101" s="196"/>
      <c r="AX101" s="196"/>
      <c r="AY101" s="196"/>
      <c r="AZ101" s="196"/>
      <c r="BA101" s="196"/>
      <c r="BB101" s="196"/>
      <c r="BC101" s="196"/>
      <c r="BD101" s="196"/>
      <c r="BE101" s="196"/>
      <c r="BF101" s="196"/>
      <c r="BG101" s="196"/>
      <c r="BH101" s="197"/>
      <c r="BI101" s="102"/>
    </row>
    <row r="102" spans="1:61" ht="18" customHeight="1" x14ac:dyDescent="0.5">
      <c r="A102" s="98"/>
      <c r="B102" s="305" t="s">
        <v>29</v>
      </c>
      <c r="C102" s="306"/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7"/>
      <c r="AK102" s="310" t="s">
        <v>10</v>
      </c>
      <c r="AL102" s="306"/>
      <c r="AM102" s="306"/>
      <c r="AN102" s="306"/>
      <c r="AO102" s="306"/>
      <c r="AP102" s="306"/>
      <c r="AQ102" s="306"/>
      <c r="AR102" s="307"/>
      <c r="AS102" s="310" t="s">
        <v>9</v>
      </c>
      <c r="AT102" s="306"/>
      <c r="AU102" s="306"/>
      <c r="AV102" s="306"/>
      <c r="AW102" s="306"/>
      <c r="AX102" s="306"/>
      <c r="AY102" s="306"/>
      <c r="AZ102" s="307"/>
      <c r="BA102" s="310" t="s">
        <v>7</v>
      </c>
      <c r="BB102" s="306"/>
      <c r="BC102" s="306"/>
      <c r="BD102" s="306"/>
      <c r="BE102" s="306"/>
      <c r="BF102" s="306"/>
      <c r="BG102" s="306"/>
      <c r="BH102" s="311"/>
      <c r="BI102" s="102"/>
    </row>
    <row r="103" spans="1:61" ht="18" customHeight="1" thickBot="1" x14ac:dyDescent="0.55000000000000004">
      <c r="A103" s="98"/>
      <c r="B103" s="308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309"/>
      <c r="AK103" s="202" t="s">
        <v>11</v>
      </c>
      <c r="AL103" s="203"/>
      <c r="AM103" s="203"/>
      <c r="AN103" s="203"/>
      <c r="AO103" s="203"/>
      <c r="AP103" s="203"/>
      <c r="AQ103" s="203"/>
      <c r="AR103" s="309"/>
      <c r="AS103" s="202"/>
      <c r="AT103" s="203"/>
      <c r="AU103" s="203"/>
      <c r="AV103" s="203"/>
      <c r="AW103" s="203"/>
      <c r="AX103" s="203"/>
      <c r="AY103" s="203"/>
      <c r="AZ103" s="309"/>
      <c r="BA103" s="202" t="s">
        <v>8</v>
      </c>
      <c r="BB103" s="203"/>
      <c r="BC103" s="203"/>
      <c r="BD103" s="203"/>
      <c r="BE103" s="203"/>
      <c r="BF103" s="203"/>
      <c r="BG103" s="203"/>
      <c r="BH103" s="204"/>
      <c r="BI103" s="102"/>
    </row>
    <row r="104" spans="1:61" ht="15.95" customHeight="1" x14ac:dyDescent="0.5">
      <c r="A104" s="98"/>
      <c r="B104" s="242" t="s">
        <v>12</v>
      </c>
      <c r="C104" s="243"/>
      <c r="D104" s="93" t="s">
        <v>25</v>
      </c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299" t="str">
        <f>IF(AK30="","",AK30)</f>
        <v/>
      </c>
      <c r="AL104" s="300"/>
      <c r="AM104" s="300"/>
      <c r="AN104" s="300"/>
      <c r="AO104" s="300"/>
      <c r="AP104" s="300"/>
      <c r="AQ104" s="300"/>
      <c r="AR104" s="301"/>
      <c r="AS104" s="302" t="str">
        <f>IF(AS30="","",AS30)</f>
        <v/>
      </c>
      <c r="AT104" s="303"/>
      <c r="AU104" s="303"/>
      <c r="AV104" s="303"/>
      <c r="AW104" s="303"/>
      <c r="AX104" s="303"/>
      <c r="AY104" s="303"/>
      <c r="AZ104" s="304"/>
      <c r="BA104" s="296">
        <f>+BA30</f>
        <v>0</v>
      </c>
      <c r="BB104" s="297"/>
      <c r="BC104" s="297"/>
      <c r="BD104" s="297"/>
      <c r="BE104" s="297"/>
      <c r="BF104" s="297"/>
      <c r="BG104" s="297"/>
      <c r="BH104" s="298"/>
      <c r="BI104" s="102"/>
    </row>
    <row r="105" spans="1:61" ht="15.95" customHeight="1" x14ac:dyDescent="0.5">
      <c r="A105" s="98"/>
      <c r="B105" s="242" t="s">
        <v>13</v>
      </c>
      <c r="C105" s="243"/>
      <c r="D105" s="93" t="s">
        <v>26</v>
      </c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244" t="str">
        <f>IF(AK31="","",AK31)</f>
        <v>31/12/2025</v>
      </c>
      <c r="AL105" s="245"/>
      <c r="AM105" s="245"/>
      <c r="AN105" s="245"/>
      <c r="AO105" s="245"/>
      <c r="AP105" s="245"/>
      <c r="AQ105" s="245"/>
      <c r="AR105" s="246"/>
      <c r="AS105" s="264">
        <f>IF(AS31="","",AS31)</f>
        <v>143695</v>
      </c>
      <c r="AT105" s="265"/>
      <c r="AU105" s="265"/>
      <c r="AV105" s="265"/>
      <c r="AW105" s="265"/>
      <c r="AX105" s="265"/>
      <c r="AY105" s="265"/>
      <c r="AZ105" s="276"/>
      <c r="BA105" s="193">
        <f>IF(BA31="","",BA31)</f>
        <v>290.76</v>
      </c>
      <c r="BB105" s="194"/>
      <c r="BC105" s="191" t="str">
        <f>IF(BC31="","",BC31)</f>
        <v/>
      </c>
      <c r="BD105" s="191"/>
      <c r="BE105" s="191" t="str">
        <f t="shared" ref="BE105:BE122" si="0">IF(BE31="","",BE31)</f>
        <v/>
      </c>
      <c r="BF105" s="191"/>
      <c r="BG105" s="191" t="str">
        <f t="shared" ref="BG105:BG122" si="1">IF(BG31="","",BG31)</f>
        <v/>
      </c>
      <c r="BH105" s="192"/>
      <c r="BI105" s="102"/>
    </row>
    <row r="106" spans="1:61" ht="15.95" customHeight="1" x14ac:dyDescent="0.5">
      <c r="A106" s="98"/>
      <c r="B106" s="242" t="s">
        <v>14</v>
      </c>
      <c r="C106" s="243"/>
      <c r="D106" s="93" t="s">
        <v>27</v>
      </c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244">
        <f>AK32</f>
        <v>0</v>
      </c>
      <c r="AL106" s="245"/>
      <c r="AM106" s="245"/>
      <c r="AN106" s="245"/>
      <c r="AO106" s="245"/>
      <c r="AP106" s="245"/>
      <c r="AQ106" s="245"/>
      <c r="AR106" s="246"/>
      <c r="AS106" s="264">
        <f>AS32</f>
        <v>0</v>
      </c>
      <c r="AT106" s="265"/>
      <c r="AU106" s="265"/>
      <c r="AV106" s="265"/>
      <c r="AW106" s="265"/>
      <c r="AX106" s="265"/>
      <c r="AY106" s="265"/>
      <c r="AZ106" s="276"/>
      <c r="BA106" s="193">
        <f>BA32</f>
        <v>0</v>
      </c>
      <c r="BB106" s="194"/>
      <c r="BC106" s="191">
        <f>BC32</f>
        <v>0</v>
      </c>
      <c r="BD106" s="191"/>
      <c r="BE106" s="191" t="str">
        <f t="shared" si="0"/>
        <v/>
      </c>
      <c r="BF106" s="191"/>
      <c r="BG106" s="191" t="str">
        <f t="shared" si="1"/>
        <v/>
      </c>
      <c r="BH106" s="192"/>
      <c r="BI106" s="102"/>
    </row>
    <row r="107" spans="1:61" ht="15.95" customHeight="1" x14ac:dyDescent="0.5">
      <c r="A107" s="98"/>
      <c r="B107" s="242" t="s">
        <v>15</v>
      </c>
      <c r="C107" s="243"/>
      <c r="D107" s="127" t="s">
        <v>17</v>
      </c>
      <c r="E107" s="93"/>
      <c r="F107" s="93" t="s">
        <v>28</v>
      </c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244" t="str">
        <f>IF(AK33="","",AK33)</f>
        <v/>
      </c>
      <c r="AL107" s="245"/>
      <c r="AM107" s="245"/>
      <c r="AN107" s="245"/>
      <c r="AO107" s="245"/>
      <c r="AP107" s="245"/>
      <c r="AQ107" s="245"/>
      <c r="AR107" s="246"/>
      <c r="AS107" s="264" t="str">
        <f>IF(AS33="","",AS33)</f>
        <v/>
      </c>
      <c r="AT107" s="265"/>
      <c r="AU107" s="265"/>
      <c r="AV107" s="265"/>
      <c r="AW107" s="265"/>
      <c r="AX107" s="265"/>
      <c r="AY107" s="265"/>
      <c r="AZ107" s="276"/>
      <c r="BA107" s="193" t="str">
        <f t="shared" ref="BA107:BA122" si="2">IF(BA33="","",BA33)</f>
        <v/>
      </c>
      <c r="BB107" s="194"/>
      <c r="BC107" s="191" t="str">
        <f t="shared" ref="BC107:BC122" si="3">IF(BC33="","",BC33)</f>
        <v/>
      </c>
      <c r="BD107" s="191"/>
      <c r="BE107" s="191" t="str">
        <f t="shared" si="0"/>
        <v/>
      </c>
      <c r="BF107" s="191"/>
      <c r="BG107" s="191" t="str">
        <f t="shared" si="1"/>
        <v/>
      </c>
      <c r="BH107" s="192"/>
      <c r="BI107" s="102"/>
    </row>
    <row r="108" spans="1:61" ht="15.95" customHeight="1" x14ac:dyDescent="0.5">
      <c r="A108" s="98"/>
      <c r="B108" s="242"/>
      <c r="C108" s="243"/>
      <c r="D108" s="127" t="s">
        <v>18</v>
      </c>
      <c r="E108" s="93"/>
      <c r="F108" s="93" t="s">
        <v>39</v>
      </c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280"/>
      <c r="AL108" s="281"/>
      <c r="AM108" s="281"/>
      <c r="AN108" s="281"/>
      <c r="AO108" s="281"/>
      <c r="AP108" s="281"/>
      <c r="AQ108" s="281"/>
      <c r="AR108" s="282"/>
      <c r="AS108" s="277"/>
      <c r="AT108" s="278"/>
      <c r="AU108" s="278"/>
      <c r="AV108" s="278"/>
      <c r="AW108" s="278"/>
      <c r="AX108" s="278"/>
      <c r="AY108" s="278"/>
      <c r="AZ108" s="279"/>
      <c r="BA108" s="283" t="str">
        <f t="shared" si="2"/>
        <v/>
      </c>
      <c r="BB108" s="284"/>
      <c r="BC108" s="285" t="str">
        <f t="shared" si="3"/>
        <v/>
      </c>
      <c r="BD108" s="285"/>
      <c r="BE108" s="285" t="str">
        <f t="shared" si="0"/>
        <v/>
      </c>
      <c r="BF108" s="285"/>
      <c r="BG108" s="285" t="str">
        <f t="shared" si="1"/>
        <v/>
      </c>
      <c r="BH108" s="286"/>
      <c r="BI108" s="102"/>
    </row>
    <row r="109" spans="1:61" ht="15.95" customHeight="1" x14ac:dyDescent="0.5">
      <c r="A109" s="98"/>
      <c r="B109" s="128"/>
      <c r="C109" s="127"/>
      <c r="D109" s="127"/>
      <c r="E109" s="127" t="s">
        <v>5</v>
      </c>
      <c r="F109" s="93"/>
      <c r="G109" s="93" t="s">
        <v>38</v>
      </c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287"/>
      <c r="AL109" s="288"/>
      <c r="AM109" s="288"/>
      <c r="AN109" s="288"/>
      <c r="AO109" s="288"/>
      <c r="AP109" s="288"/>
      <c r="AQ109" s="288"/>
      <c r="AR109" s="289"/>
      <c r="AS109" s="290"/>
      <c r="AT109" s="291"/>
      <c r="AU109" s="291"/>
      <c r="AV109" s="291"/>
      <c r="AW109" s="291"/>
      <c r="AX109" s="291"/>
      <c r="AY109" s="291"/>
      <c r="AZ109" s="292"/>
      <c r="BA109" s="209" t="str">
        <f t="shared" si="2"/>
        <v/>
      </c>
      <c r="BB109" s="210"/>
      <c r="BC109" s="211" t="str">
        <f t="shared" si="3"/>
        <v/>
      </c>
      <c r="BD109" s="211"/>
      <c r="BE109" s="211" t="str">
        <f t="shared" si="0"/>
        <v/>
      </c>
      <c r="BF109" s="211"/>
      <c r="BG109" s="211" t="str">
        <f t="shared" si="1"/>
        <v/>
      </c>
      <c r="BH109" s="212"/>
      <c r="BI109" s="102"/>
    </row>
    <row r="110" spans="1:61" ht="15.95" customHeight="1" x14ac:dyDescent="0.5">
      <c r="A110" s="98"/>
      <c r="B110" s="126"/>
      <c r="C110" s="100"/>
      <c r="D110" s="100"/>
      <c r="E110" s="100"/>
      <c r="F110" s="100"/>
      <c r="G110" s="93" t="s">
        <v>40</v>
      </c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287"/>
      <c r="AL110" s="288"/>
      <c r="AM110" s="288"/>
      <c r="AN110" s="288"/>
      <c r="AO110" s="288"/>
      <c r="AP110" s="288"/>
      <c r="AQ110" s="288"/>
      <c r="AR110" s="289"/>
      <c r="AS110" s="290"/>
      <c r="AT110" s="291"/>
      <c r="AU110" s="291"/>
      <c r="AV110" s="291"/>
      <c r="AW110" s="291"/>
      <c r="AX110" s="291"/>
      <c r="AY110" s="291"/>
      <c r="AZ110" s="292"/>
      <c r="BA110" s="209" t="str">
        <f t="shared" si="2"/>
        <v/>
      </c>
      <c r="BB110" s="210"/>
      <c r="BC110" s="211" t="str">
        <f t="shared" si="3"/>
        <v/>
      </c>
      <c r="BD110" s="211"/>
      <c r="BE110" s="211" t="str">
        <f t="shared" si="0"/>
        <v/>
      </c>
      <c r="BF110" s="211"/>
      <c r="BG110" s="211" t="str">
        <f t="shared" si="1"/>
        <v/>
      </c>
      <c r="BH110" s="212"/>
      <c r="BI110" s="102"/>
    </row>
    <row r="111" spans="1:61" ht="15.95" customHeight="1" x14ac:dyDescent="0.5">
      <c r="A111" s="98"/>
      <c r="B111" s="128"/>
      <c r="C111" s="127"/>
      <c r="D111" s="127"/>
      <c r="E111" s="93"/>
      <c r="G111" s="93" t="s">
        <v>30</v>
      </c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255" t="str">
        <f>IF(AK37="","",AK37)</f>
        <v/>
      </c>
      <c r="AL111" s="256"/>
      <c r="AM111" s="256"/>
      <c r="AN111" s="256"/>
      <c r="AO111" s="256"/>
      <c r="AP111" s="256"/>
      <c r="AQ111" s="256"/>
      <c r="AR111" s="257"/>
      <c r="AS111" s="293" t="str">
        <f>IF(AS37="","",AS37)</f>
        <v/>
      </c>
      <c r="AT111" s="294"/>
      <c r="AU111" s="294"/>
      <c r="AV111" s="294"/>
      <c r="AW111" s="294"/>
      <c r="AX111" s="294"/>
      <c r="AY111" s="294"/>
      <c r="AZ111" s="295"/>
      <c r="BA111" s="270" t="str">
        <f t="shared" si="2"/>
        <v/>
      </c>
      <c r="BB111" s="271"/>
      <c r="BC111" s="274" t="str">
        <f t="shared" si="3"/>
        <v/>
      </c>
      <c r="BD111" s="274"/>
      <c r="BE111" s="274" t="str">
        <f t="shared" si="0"/>
        <v/>
      </c>
      <c r="BF111" s="274"/>
      <c r="BG111" s="274" t="str">
        <f t="shared" si="1"/>
        <v/>
      </c>
      <c r="BH111" s="275"/>
      <c r="BI111" s="102"/>
    </row>
    <row r="112" spans="1:61" ht="15.95" customHeight="1" x14ac:dyDescent="0.5">
      <c r="A112" s="98"/>
      <c r="B112" s="128"/>
      <c r="C112" s="127"/>
      <c r="D112" s="127"/>
      <c r="E112" s="93"/>
      <c r="F112" s="93"/>
      <c r="G112" s="93" t="s">
        <v>31</v>
      </c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244" t="str">
        <f>IF(AK38="","",AK38)</f>
        <v/>
      </c>
      <c r="AL112" s="245"/>
      <c r="AM112" s="245"/>
      <c r="AN112" s="245"/>
      <c r="AO112" s="245"/>
      <c r="AP112" s="245"/>
      <c r="AQ112" s="245"/>
      <c r="AR112" s="246"/>
      <c r="AS112" s="264" t="str">
        <f>IF(AS38="","",AS38)</f>
        <v/>
      </c>
      <c r="AT112" s="265"/>
      <c r="AU112" s="265"/>
      <c r="AV112" s="265"/>
      <c r="AW112" s="265"/>
      <c r="AX112" s="265"/>
      <c r="AY112" s="265"/>
      <c r="AZ112" s="276"/>
      <c r="BA112" s="193" t="str">
        <f t="shared" si="2"/>
        <v/>
      </c>
      <c r="BB112" s="194"/>
      <c r="BC112" s="191" t="str">
        <f t="shared" si="3"/>
        <v/>
      </c>
      <c r="BD112" s="191"/>
      <c r="BE112" s="191" t="str">
        <f t="shared" si="0"/>
        <v/>
      </c>
      <c r="BF112" s="191"/>
      <c r="BG112" s="191" t="str">
        <f t="shared" si="1"/>
        <v/>
      </c>
      <c r="BH112" s="192"/>
      <c r="BI112" s="102"/>
    </row>
    <row r="113" spans="1:89" ht="15.95" customHeight="1" x14ac:dyDescent="0.5">
      <c r="A113" s="98"/>
      <c r="B113" s="128"/>
      <c r="C113" s="127"/>
      <c r="D113" s="127"/>
      <c r="E113" s="93"/>
      <c r="F113" s="93"/>
      <c r="G113" s="93" t="s">
        <v>32</v>
      </c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244" t="str">
        <f>IF(AK39="","",AK39)</f>
        <v/>
      </c>
      <c r="AL113" s="245"/>
      <c r="AM113" s="245"/>
      <c r="AN113" s="245"/>
      <c r="AO113" s="245"/>
      <c r="AP113" s="245"/>
      <c r="AQ113" s="245"/>
      <c r="AR113" s="246"/>
      <c r="AS113" s="264" t="str">
        <f>IF(AS39="","",AS39)</f>
        <v/>
      </c>
      <c r="AT113" s="265"/>
      <c r="AU113" s="265"/>
      <c r="AV113" s="265"/>
      <c r="AW113" s="265"/>
      <c r="AX113" s="265"/>
      <c r="AY113" s="265"/>
      <c r="AZ113" s="276"/>
      <c r="BA113" s="193" t="str">
        <f t="shared" si="2"/>
        <v/>
      </c>
      <c r="BB113" s="194"/>
      <c r="BC113" s="191" t="str">
        <f t="shared" si="3"/>
        <v/>
      </c>
      <c r="BD113" s="191"/>
      <c r="BE113" s="191" t="str">
        <f t="shared" si="0"/>
        <v/>
      </c>
      <c r="BF113" s="191"/>
      <c r="BG113" s="191" t="str">
        <f t="shared" si="1"/>
        <v/>
      </c>
      <c r="BH113" s="192"/>
      <c r="BI113" s="102"/>
    </row>
    <row r="114" spans="1:89" ht="15.95" customHeight="1" x14ac:dyDescent="0.5">
      <c r="A114" s="98"/>
      <c r="B114" s="128"/>
      <c r="C114" s="127"/>
      <c r="D114" s="127"/>
      <c r="E114" s="93"/>
      <c r="F114" s="93"/>
      <c r="G114" s="93" t="s">
        <v>122</v>
      </c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244" t="str">
        <f>IF(AK40="","",AK40)</f>
        <v/>
      </c>
      <c r="AL114" s="245"/>
      <c r="AM114" s="245"/>
      <c r="AN114" s="245"/>
      <c r="AO114" s="245"/>
      <c r="AP114" s="245"/>
      <c r="AQ114" s="245"/>
      <c r="AR114" s="246"/>
      <c r="AS114" s="264" t="str">
        <f>IF(AS40="","",AS40)</f>
        <v/>
      </c>
      <c r="AT114" s="265"/>
      <c r="AU114" s="265"/>
      <c r="AV114" s="265"/>
      <c r="AW114" s="265"/>
      <c r="AX114" s="265"/>
      <c r="AY114" s="265"/>
      <c r="AZ114" s="276"/>
      <c r="BA114" s="193" t="str">
        <f t="shared" si="2"/>
        <v/>
      </c>
      <c r="BB114" s="194"/>
      <c r="BC114" s="191" t="str">
        <f t="shared" si="3"/>
        <v/>
      </c>
      <c r="BD114" s="191"/>
      <c r="BE114" s="191" t="str">
        <f t="shared" si="0"/>
        <v/>
      </c>
      <c r="BF114" s="191"/>
      <c r="BG114" s="191" t="str">
        <f t="shared" si="1"/>
        <v/>
      </c>
      <c r="BH114" s="192"/>
      <c r="BI114" s="102"/>
    </row>
    <row r="115" spans="1:89" ht="15.95" customHeight="1" x14ac:dyDescent="0.5">
      <c r="A115" s="98"/>
      <c r="B115" s="128"/>
      <c r="C115" s="127"/>
      <c r="E115" s="127" t="s">
        <v>6</v>
      </c>
      <c r="F115" s="93"/>
      <c r="G115" s="93" t="s">
        <v>41</v>
      </c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280"/>
      <c r="AL115" s="281"/>
      <c r="AM115" s="281"/>
      <c r="AN115" s="281"/>
      <c r="AO115" s="281"/>
      <c r="AP115" s="281"/>
      <c r="AQ115" s="281"/>
      <c r="AR115" s="282"/>
      <c r="AS115" s="277"/>
      <c r="AT115" s="278"/>
      <c r="AU115" s="278"/>
      <c r="AV115" s="278"/>
      <c r="AW115" s="278"/>
      <c r="AX115" s="278"/>
      <c r="AY115" s="278"/>
      <c r="AZ115" s="279"/>
      <c r="BA115" s="283" t="str">
        <f t="shared" si="2"/>
        <v/>
      </c>
      <c r="BB115" s="284"/>
      <c r="BC115" s="285" t="str">
        <f t="shared" si="3"/>
        <v/>
      </c>
      <c r="BD115" s="285"/>
      <c r="BE115" s="285" t="str">
        <f t="shared" si="0"/>
        <v/>
      </c>
      <c r="BF115" s="285"/>
      <c r="BG115" s="285" t="str">
        <f t="shared" si="1"/>
        <v/>
      </c>
      <c r="BH115" s="286"/>
      <c r="BI115" s="102"/>
    </row>
    <row r="116" spans="1:89" ht="15.95" customHeight="1" x14ac:dyDescent="0.5">
      <c r="A116" s="98"/>
      <c r="B116" s="128"/>
      <c r="C116" s="127"/>
      <c r="D116" s="127"/>
      <c r="E116" s="93"/>
      <c r="G116" s="93" t="s">
        <v>42</v>
      </c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255" t="str">
        <f>IF(AK42="","",AK42)</f>
        <v/>
      </c>
      <c r="AL116" s="256"/>
      <c r="AM116" s="256"/>
      <c r="AN116" s="256"/>
      <c r="AO116" s="256"/>
      <c r="AP116" s="256"/>
      <c r="AQ116" s="256"/>
      <c r="AR116" s="257"/>
      <c r="AS116" s="293" t="str">
        <f>IF(AS42="","",AS42)</f>
        <v/>
      </c>
      <c r="AT116" s="294"/>
      <c r="AU116" s="294"/>
      <c r="AV116" s="294"/>
      <c r="AW116" s="294"/>
      <c r="AX116" s="294"/>
      <c r="AY116" s="294"/>
      <c r="AZ116" s="295"/>
      <c r="BA116" s="270" t="str">
        <f t="shared" si="2"/>
        <v/>
      </c>
      <c r="BB116" s="271"/>
      <c r="BC116" s="274" t="str">
        <f t="shared" si="3"/>
        <v/>
      </c>
      <c r="BD116" s="274"/>
      <c r="BE116" s="274" t="str">
        <f t="shared" si="0"/>
        <v/>
      </c>
      <c r="BF116" s="274"/>
      <c r="BG116" s="274" t="str">
        <f t="shared" si="1"/>
        <v/>
      </c>
      <c r="BH116" s="275"/>
      <c r="BI116" s="102"/>
    </row>
    <row r="117" spans="1:89" ht="15.95" customHeight="1" x14ac:dyDescent="0.5">
      <c r="A117" s="98"/>
      <c r="B117" s="128"/>
      <c r="C117" s="127"/>
      <c r="E117" s="127"/>
      <c r="F117" s="93"/>
      <c r="G117" s="93" t="s">
        <v>43</v>
      </c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280"/>
      <c r="AL117" s="281"/>
      <c r="AM117" s="281"/>
      <c r="AN117" s="281"/>
      <c r="AO117" s="281"/>
      <c r="AP117" s="281"/>
      <c r="AQ117" s="281"/>
      <c r="AR117" s="282"/>
      <c r="AS117" s="277"/>
      <c r="AT117" s="278"/>
      <c r="AU117" s="278"/>
      <c r="AV117" s="278"/>
      <c r="AW117" s="278"/>
      <c r="AX117" s="278"/>
      <c r="AY117" s="278"/>
      <c r="AZ117" s="279"/>
      <c r="BA117" s="283" t="str">
        <f t="shared" si="2"/>
        <v/>
      </c>
      <c r="BB117" s="284"/>
      <c r="BC117" s="285" t="str">
        <f t="shared" si="3"/>
        <v/>
      </c>
      <c r="BD117" s="285"/>
      <c r="BE117" s="285" t="str">
        <f t="shared" si="0"/>
        <v/>
      </c>
      <c r="BF117" s="285"/>
      <c r="BG117" s="285" t="str">
        <f t="shared" si="1"/>
        <v/>
      </c>
      <c r="BH117" s="286"/>
      <c r="BI117" s="102"/>
    </row>
    <row r="118" spans="1:89" ht="15.95" customHeight="1" x14ac:dyDescent="0.5">
      <c r="A118" s="98"/>
      <c r="B118" s="128"/>
      <c r="C118" s="127"/>
      <c r="E118" s="127"/>
      <c r="F118" s="93"/>
      <c r="G118" s="93"/>
      <c r="H118" s="93"/>
      <c r="I118" s="93" t="s">
        <v>44</v>
      </c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255" t="str">
        <f>IF(AK44="","",AK44)</f>
        <v/>
      </c>
      <c r="AL118" s="256"/>
      <c r="AM118" s="256"/>
      <c r="AN118" s="256"/>
      <c r="AO118" s="256"/>
      <c r="AP118" s="256"/>
      <c r="AQ118" s="256"/>
      <c r="AR118" s="257"/>
      <c r="AS118" s="293" t="str">
        <f>IF(AS44="","",AS44)</f>
        <v/>
      </c>
      <c r="AT118" s="294"/>
      <c r="AU118" s="294"/>
      <c r="AV118" s="294"/>
      <c r="AW118" s="294"/>
      <c r="AX118" s="294"/>
      <c r="AY118" s="294"/>
      <c r="AZ118" s="295"/>
      <c r="BA118" s="270" t="str">
        <f t="shared" si="2"/>
        <v/>
      </c>
      <c r="BB118" s="271"/>
      <c r="BC118" s="274" t="str">
        <f t="shared" si="3"/>
        <v/>
      </c>
      <c r="BD118" s="274"/>
      <c r="BE118" s="274" t="str">
        <f t="shared" si="0"/>
        <v/>
      </c>
      <c r="BF118" s="274"/>
      <c r="BG118" s="274" t="str">
        <f t="shared" si="1"/>
        <v/>
      </c>
      <c r="BH118" s="275"/>
      <c r="BI118" s="102"/>
    </row>
    <row r="119" spans="1:89" ht="15.95" customHeight="1" x14ac:dyDescent="0.5">
      <c r="A119" s="98"/>
      <c r="B119" s="128"/>
      <c r="C119" s="127"/>
      <c r="D119" s="127"/>
      <c r="E119" s="93"/>
      <c r="F119" s="93"/>
      <c r="G119" s="93" t="s">
        <v>121</v>
      </c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280"/>
      <c r="AL119" s="281"/>
      <c r="AM119" s="281"/>
      <c r="AN119" s="281"/>
      <c r="AO119" s="281"/>
      <c r="AP119" s="281"/>
      <c r="AQ119" s="281"/>
      <c r="AR119" s="282"/>
      <c r="AS119" s="277"/>
      <c r="AT119" s="278"/>
      <c r="AU119" s="278"/>
      <c r="AV119" s="278"/>
      <c r="AW119" s="278"/>
      <c r="AX119" s="278"/>
      <c r="AY119" s="278"/>
      <c r="AZ119" s="279"/>
      <c r="BA119" s="283" t="str">
        <f t="shared" si="2"/>
        <v/>
      </c>
      <c r="BB119" s="284"/>
      <c r="BC119" s="285" t="str">
        <f t="shared" si="3"/>
        <v/>
      </c>
      <c r="BD119" s="285"/>
      <c r="BE119" s="285" t="str">
        <f t="shared" si="0"/>
        <v/>
      </c>
      <c r="BF119" s="285"/>
      <c r="BG119" s="285" t="str">
        <f t="shared" si="1"/>
        <v/>
      </c>
      <c r="BH119" s="286"/>
      <c r="BI119" s="102"/>
    </row>
    <row r="120" spans="1:89" ht="15.95" customHeight="1" x14ac:dyDescent="0.5">
      <c r="A120" s="98"/>
      <c r="B120" s="128"/>
      <c r="C120" s="127"/>
      <c r="D120" s="127"/>
      <c r="E120" s="93"/>
      <c r="F120" s="93"/>
      <c r="G120" s="93" t="s">
        <v>45</v>
      </c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244" t="str">
        <f>IF(AK46="","",AK46)</f>
        <v/>
      </c>
      <c r="AL120" s="245"/>
      <c r="AM120" s="245"/>
      <c r="AN120" s="245"/>
      <c r="AO120" s="245"/>
      <c r="AP120" s="245"/>
      <c r="AQ120" s="245"/>
      <c r="AR120" s="246"/>
      <c r="AS120" s="264" t="str">
        <f>IF(AS46="","",AS46)</f>
        <v/>
      </c>
      <c r="AT120" s="265"/>
      <c r="AU120" s="265"/>
      <c r="AV120" s="265"/>
      <c r="AW120" s="265"/>
      <c r="AX120" s="265"/>
      <c r="AY120" s="265"/>
      <c r="AZ120" s="276"/>
      <c r="BA120" s="193" t="str">
        <f t="shared" si="2"/>
        <v/>
      </c>
      <c r="BB120" s="194"/>
      <c r="BC120" s="191" t="str">
        <f t="shared" si="3"/>
        <v/>
      </c>
      <c r="BD120" s="191"/>
      <c r="BE120" s="191" t="str">
        <f t="shared" si="0"/>
        <v/>
      </c>
      <c r="BF120" s="191"/>
      <c r="BG120" s="191" t="str">
        <f t="shared" si="1"/>
        <v/>
      </c>
      <c r="BH120" s="192"/>
      <c r="BI120" s="102"/>
    </row>
    <row r="121" spans="1:89" ht="15.95" customHeight="1" x14ac:dyDescent="0.5">
      <c r="A121" s="98"/>
      <c r="B121" s="128"/>
      <c r="C121" s="127"/>
      <c r="D121" s="127"/>
      <c r="E121" s="93"/>
      <c r="F121" s="93"/>
      <c r="G121" s="93" t="s">
        <v>123</v>
      </c>
      <c r="H121" s="93"/>
      <c r="I121" s="93"/>
      <c r="J121" s="93"/>
      <c r="K121" s="93"/>
      <c r="L121" s="93"/>
      <c r="M121" s="93"/>
      <c r="N121" s="207" t="str">
        <f>N47</f>
        <v/>
      </c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7"/>
      <c r="AD121" s="207"/>
      <c r="AE121" s="207"/>
      <c r="AF121" s="207"/>
      <c r="AG121" s="207"/>
      <c r="AH121" s="207"/>
      <c r="AI121" s="207"/>
      <c r="AJ121" s="165"/>
      <c r="AK121" s="244" t="str">
        <f>IF(AK47="","",AK47)</f>
        <v/>
      </c>
      <c r="AL121" s="245"/>
      <c r="AM121" s="245"/>
      <c r="AN121" s="245"/>
      <c r="AO121" s="245"/>
      <c r="AP121" s="245"/>
      <c r="AQ121" s="245"/>
      <c r="AR121" s="246"/>
      <c r="AS121" s="264" t="str">
        <f>IF(AS47="","",AS47)</f>
        <v/>
      </c>
      <c r="AT121" s="265"/>
      <c r="AU121" s="265"/>
      <c r="AV121" s="265"/>
      <c r="AW121" s="265"/>
      <c r="AX121" s="265"/>
      <c r="AY121" s="265"/>
      <c r="AZ121" s="276"/>
      <c r="BA121" s="193" t="str">
        <f t="shared" si="2"/>
        <v/>
      </c>
      <c r="BB121" s="194"/>
      <c r="BC121" s="191" t="str">
        <f t="shared" si="3"/>
        <v/>
      </c>
      <c r="BD121" s="191"/>
      <c r="BE121" s="191" t="str">
        <f t="shared" si="0"/>
        <v/>
      </c>
      <c r="BF121" s="191"/>
      <c r="BG121" s="191" t="str">
        <f t="shared" si="1"/>
        <v/>
      </c>
      <c r="BH121" s="192"/>
      <c r="BI121" s="102"/>
    </row>
    <row r="122" spans="1:89" ht="15.95" customHeight="1" x14ac:dyDescent="0.5">
      <c r="A122" s="98"/>
      <c r="B122" s="242" t="s">
        <v>16</v>
      </c>
      <c r="C122" s="243"/>
      <c r="D122" s="93" t="s">
        <v>19</v>
      </c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244"/>
      <c r="AL122" s="245"/>
      <c r="AM122" s="245"/>
      <c r="AN122" s="245"/>
      <c r="AO122" s="245"/>
      <c r="AP122" s="245"/>
      <c r="AQ122" s="245"/>
      <c r="AR122" s="246"/>
      <c r="AS122" s="264"/>
      <c r="AT122" s="265"/>
      <c r="AU122" s="265"/>
      <c r="AV122" s="265"/>
      <c r="AW122" s="265"/>
      <c r="AX122" s="265"/>
      <c r="AY122" s="265"/>
      <c r="AZ122" s="276"/>
      <c r="BA122" s="193" t="str">
        <f t="shared" si="2"/>
        <v/>
      </c>
      <c r="BB122" s="194"/>
      <c r="BC122" s="191" t="str">
        <f t="shared" si="3"/>
        <v/>
      </c>
      <c r="BD122" s="191"/>
      <c r="BE122" s="191" t="str">
        <f t="shared" si="0"/>
        <v/>
      </c>
      <c r="BF122" s="191"/>
      <c r="BG122" s="191" t="str">
        <f t="shared" si="1"/>
        <v/>
      </c>
      <c r="BH122" s="192"/>
      <c r="BI122" s="102"/>
    </row>
    <row r="123" spans="1:89" ht="15.95" customHeight="1" x14ac:dyDescent="0.5">
      <c r="A123" s="98"/>
      <c r="B123" s="242"/>
      <c r="C123" s="243"/>
      <c r="D123" s="93" t="s">
        <v>36</v>
      </c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244"/>
      <c r="AL123" s="245"/>
      <c r="AM123" s="245"/>
      <c r="AN123" s="245"/>
      <c r="AO123" s="245"/>
      <c r="AP123" s="245"/>
      <c r="AQ123" s="245"/>
      <c r="AR123" s="246"/>
      <c r="AS123" s="264"/>
      <c r="AT123" s="265"/>
      <c r="AU123" s="265"/>
      <c r="AV123" s="265"/>
      <c r="AW123" s="265"/>
      <c r="AX123" s="265"/>
      <c r="AY123" s="265"/>
      <c r="AZ123" s="276"/>
      <c r="BA123" s="193"/>
      <c r="BB123" s="194"/>
      <c r="BC123" s="191"/>
      <c r="BD123" s="191"/>
      <c r="BE123" s="191"/>
      <c r="BF123" s="191"/>
      <c r="BG123" s="191"/>
      <c r="BH123" s="192"/>
      <c r="BI123" s="102"/>
    </row>
    <row r="124" spans="1:89" ht="15.95" customHeight="1" x14ac:dyDescent="0.5">
      <c r="A124" s="98"/>
      <c r="B124" s="242"/>
      <c r="C124" s="243"/>
      <c r="D124" s="93" t="s">
        <v>33</v>
      </c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244"/>
      <c r="AL124" s="245"/>
      <c r="AM124" s="245"/>
      <c r="AN124" s="245"/>
      <c r="AO124" s="245"/>
      <c r="AP124" s="245"/>
      <c r="AQ124" s="245"/>
      <c r="AR124" s="246"/>
      <c r="AS124" s="264"/>
      <c r="AT124" s="265"/>
      <c r="AU124" s="265"/>
      <c r="AV124" s="265"/>
      <c r="AW124" s="265"/>
      <c r="AX124" s="265"/>
      <c r="AY124" s="265"/>
      <c r="AZ124" s="265"/>
      <c r="BA124" s="193" t="str">
        <f>IF(BA50="","",BA50)</f>
        <v/>
      </c>
      <c r="BB124" s="194"/>
      <c r="BC124" s="191" t="str">
        <f>IF(BC50="","",BC50)</f>
        <v/>
      </c>
      <c r="BD124" s="191"/>
      <c r="BE124" s="191" t="str">
        <f>IF(BE50="","",BE50)</f>
        <v/>
      </c>
      <c r="BF124" s="191"/>
      <c r="BG124" s="191" t="str">
        <f>IF(BG50="","",BG50)</f>
        <v/>
      </c>
      <c r="BH124" s="192"/>
      <c r="BI124" s="102"/>
    </row>
    <row r="125" spans="1:89" ht="15.95" customHeight="1" x14ac:dyDescent="0.5">
      <c r="A125" s="98"/>
      <c r="B125" s="242"/>
      <c r="C125" s="243"/>
      <c r="D125" s="93" t="s">
        <v>55</v>
      </c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129"/>
      <c r="AL125" s="130"/>
      <c r="AM125" s="130"/>
      <c r="AN125" s="130"/>
      <c r="AO125" s="130"/>
      <c r="AP125" s="130"/>
      <c r="AQ125" s="130"/>
      <c r="AR125" s="131"/>
      <c r="AS125" s="267" t="str">
        <f>IF(AS51="","",AS51)</f>
        <v/>
      </c>
      <c r="AT125" s="267"/>
      <c r="AU125" s="267"/>
      <c r="AV125" s="267"/>
      <c r="AW125" s="267"/>
      <c r="AX125" s="267"/>
      <c r="AY125" s="267"/>
      <c r="AZ125" s="264"/>
      <c r="BA125" s="193" t="str">
        <f>IF(BA51="","",BA51)</f>
        <v/>
      </c>
      <c r="BB125" s="194"/>
      <c r="BC125" s="191" t="str">
        <f>IF(BC51="","",BC51)</f>
        <v/>
      </c>
      <c r="BD125" s="191"/>
      <c r="BE125" s="191" t="str">
        <f>IF(BE51="","",BE51)</f>
        <v/>
      </c>
      <c r="BF125" s="191"/>
      <c r="BG125" s="191" t="str">
        <f>IF(BG51="","",BG51)</f>
        <v/>
      </c>
      <c r="BH125" s="192"/>
      <c r="BI125" s="102"/>
      <c r="CK125" s="99" t="s">
        <v>127</v>
      </c>
    </row>
    <row r="126" spans="1:89" ht="15.95" customHeight="1" x14ac:dyDescent="0.5">
      <c r="A126" s="98"/>
      <c r="B126" s="272">
        <v>6</v>
      </c>
      <c r="C126" s="273"/>
      <c r="D126" s="93" t="s">
        <v>125</v>
      </c>
      <c r="I126" s="254"/>
      <c r="J126" s="254"/>
      <c r="K126" s="254"/>
      <c r="L126" s="254"/>
      <c r="M126" s="254"/>
      <c r="N126" s="254"/>
      <c r="O126" s="254"/>
      <c r="P126" s="254"/>
      <c r="Q126" s="254"/>
      <c r="R126" s="254"/>
      <c r="S126" s="254"/>
      <c r="T126" s="254"/>
      <c r="U126" s="254"/>
      <c r="V126" s="254"/>
      <c r="W126" s="254"/>
      <c r="X126" s="254"/>
      <c r="Y126" s="254"/>
      <c r="Z126" s="254"/>
      <c r="AA126" s="254"/>
      <c r="AB126" s="254"/>
      <c r="AC126" s="254"/>
      <c r="AD126" s="254"/>
      <c r="AE126" s="254"/>
      <c r="AF126" s="254"/>
      <c r="AG126" s="254"/>
      <c r="AH126" s="254"/>
      <c r="AI126" s="254"/>
      <c r="AK126" s="255" t="str">
        <f>IF(AK52="","",AK52)</f>
        <v/>
      </c>
      <c r="AL126" s="256"/>
      <c r="AM126" s="256"/>
      <c r="AN126" s="256"/>
      <c r="AO126" s="256"/>
      <c r="AP126" s="256"/>
      <c r="AQ126" s="256"/>
      <c r="AR126" s="257"/>
      <c r="AS126" s="267" t="str">
        <f>IF(AS52="","",AS52)</f>
        <v/>
      </c>
      <c r="AT126" s="267"/>
      <c r="AU126" s="267"/>
      <c r="AV126" s="267"/>
      <c r="AW126" s="267"/>
      <c r="AX126" s="267"/>
      <c r="AY126" s="267"/>
      <c r="AZ126" s="264"/>
      <c r="BA126" s="270" t="str">
        <f>IF(BA52="","",BA52)</f>
        <v/>
      </c>
      <c r="BB126" s="271"/>
      <c r="BC126" s="274" t="str">
        <f>IF(BC52="","",BC52)</f>
        <v/>
      </c>
      <c r="BD126" s="274"/>
      <c r="BE126" s="274" t="str">
        <f>IF(BE52="","",BE52)</f>
        <v/>
      </c>
      <c r="BF126" s="274"/>
      <c r="BG126" s="274" t="str">
        <f>IF(BG52="","",BG52)</f>
        <v/>
      </c>
      <c r="BH126" s="275"/>
      <c r="BI126" s="102"/>
    </row>
    <row r="127" spans="1:89" ht="5.0999999999999996" customHeight="1" thickBot="1" x14ac:dyDescent="0.55000000000000004">
      <c r="A127" s="98"/>
      <c r="B127" s="252"/>
      <c r="C127" s="253"/>
      <c r="D127" s="132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33"/>
      <c r="AL127" s="196"/>
      <c r="AM127" s="196"/>
      <c r="AN127" s="196"/>
      <c r="AO127" s="196"/>
      <c r="AP127" s="196"/>
      <c r="AQ127" s="196"/>
      <c r="AR127" s="198"/>
      <c r="AS127" s="258"/>
      <c r="AT127" s="247"/>
      <c r="AU127" s="247"/>
      <c r="AV127" s="247"/>
      <c r="AW127" s="247"/>
      <c r="AX127" s="247"/>
      <c r="AY127" s="247"/>
      <c r="AZ127" s="268"/>
      <c r="BA127" s="258"/>
      <c r="BB127" s="247"/>
      <c r="BC127" s="247"/>
      <c r="BD127" s="247"/>
      <c r="BE127" s="247"/>
      <c r="BF127" s="247"/>
      <c r="BG127" s="247"/>
      <c r="BH127" s="259"/>
      <c r="BI127" s="102"/>
    </row>
    <row r="128" spans="1:89" ht="18" customHeight="1" thickBot="1" x14ac:dyDescent="0.55000000000000004">
      <c r="A128" s="98"/>
      <c r="B128" s="248"/>
      <c r="C128" s="249"/>
      <c r="D128" s="249"/>
      <c r="E128" s="249"/>
      <c r="F128" s="249"/>
      <c r="G128" s="249"/>
      <c r="H128" s="249"/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249"/>
      <c r="V128" s="249"/>
      <c r="W128" s="249"/>
      <c r="X128" s="249"/>
      <c r="Y128" s="249"/>
      <c r="Z128" s="249"/>
      <c r="AQ128" s="134" t="s">
        <v>20</v>
      </c>
      <c r="AR128" s="135"/>
      <c r="AS128" s="188">
        <f>SUM(AS104:AS126)</f>
        <v>143695</v>
      </c>
      <c r="AT128" s="189"/>
      <c r="AU128" s="189"/>
      <c r="AV128" s="189"/>
      <c r="AW128" s="189"/>
      <c r="AX128" s="189"/>
      <c r="AY128" s="189"/>
      <c r="AZ128" s="251"/>
      <c r="BA128" s="188">
        <f>SUM(BC104:BC126)</f>
        <v>0</v>
      </c>
      <c r="BB128" s="189"/>
      <c r="BC128" s="189"/>
      <c r="BD128" s="189"/>
      <c r="BE128" s="189"/>
      <c r="BF128" s="189"/>
      <c r="BG128" s="189"/>
      <c r="BH128" s="190"/>
      <c r="BI128" s="102"/>
    </row>
    <row r="129" spans="1:61" ht="5.0999999999999996" customHeight="1" thickTop="1" x14ac:dyDescent="0.5">
      <c r="A129" s="98"/>
      <c r="B129" s="248"/>
      <c r="C129" s="249"/>
      <c r="D129" s="249"/>
      <c r="E129" s="249"/>
      <c r="F129" s="249"/>
      <c r="G129" s="249"/>
      <c r="H129" s="249"/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249"/>
      <c r="V129" s="249"/>
      <c r="W129" s="249"/>
      <c r="X129" s="249"/>
      <c r="Y129" s="249"/>
      <c r="Z129" s="249"/>
      <c r="AA129" s="249"/>
      <c r="AB129" s="249"/>
      <c r="AC129" s="249"/>
      <c r="AD129" s="249"/>
      <c r="AE129" s="249"/>
      <c r="AF129" s="249"/>
      <c r="AG129" s="249"/>
      <c r="AH129" s="249"/>
      <c r="AI129" s="249"/>
      <c r="AJ129" s="249"/>
      <c r="AK129" s="249"/>
      <c r="AL129" s="249"/>
      <c r="AM129" s="249"/>
      <c r="AN129" s="249"/>
      <c r="AO129" s="249"/>
      <c r="AP129" s="249"/>
      <c r="AQ129" s="249"/>
      <c r="AR129" s="249"/>
      <c r="AS129" s="249"/>
      <c r="AT129" s="249"/>
      <c r="AU129" s="249"/>
      <c r="AV129" s="249"/>
      <c r="AW129" s="249"/>
      <c r="AX129" s="249"/>
      <c r="AY129" s="249"/>
      <c r="AZ129" s="249"/>
      <c r="BA129" s="249"/>
      <c r="BB129" s="249"/>
      <c r="BC129" s="249"/>
      <c r="BD129" s="249"/>
      <c r="BE129" s="249"/>
      <c r="BF129" s="249"/>
      <c r="BG129" s="249"/>
      <c r="BH129" s="250"/>
      <c r="BI129" s="102"/>
    </row>
    <row r="130" spans="1:61" ht="18" customHeight="1" x14ac:dyDescent="0.5">
      <c r="A130" s="98"/>
      <c r="B130" s="136" t="s">
        <v>37</v>
      </c>
      <c r="P130" s="261" t="str">
        <f>IF(BA128&gt;0,"("&amp;BAHTTEXT(BA128)&amp;")","")</f>
        <v/>
      </c>
      <c r="Q130" s="262"/>
      <c r="R130" s="262"/>
      <c r="S130" s="262"/>
      <c r="T130" s="262"/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263"/>
      <c r="BH130" s="102"/>
      <c r="BI130" s="102"/>
    </row>
    <row r="131" spans="1:61" ht="5.0999999999999996" customHeight="1" thickBot="1" x14ac:dyDescent="0.55000000000000004">
      <c r="A131" s="98"/>
      <c r="B131" s="122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  <c r="AH131" s="101"/>
      <c r="AI131" s="101"/>
      <c r="AJ131" s="101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  <c r="AX131" s="101"/>
      <c r="AY131" s="101"/>
      <c r="AZ131" s="101"/>
      <c r="BA131" s="101"/>
      <c r="BB131" s="101"/>
      <c r="BC131" s="101"/>
      <c r="BD131" s="101"/>
      <c r="BE131" s="101"/>
      <c r="BF131" s="101"/>
      <c r="BG131" s="101"/>
      <c r="BH131" s="123"/>
      <c r="BI131" s="102"/>
    </row>
    <row r="132" spans="1:61" ht="18" customHeight="1" x14ac:dyDescent="0.5">
      <c r="A132" s="98"/>
      <c r="B132" s="137" t="s">
        <v>72</v>
      </c>
      <c r="C132" s="138"/>
      <c r="D132" s="138"/>
      <c r="E132" s="138"/>
      <c r="F132" s="138"/>
      <c r="G132" s="138"/>
      <c r="H132" s="96" t="s">
        <v>73</v>
      </c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215"/>
      <c r="Z132" s="215"/>
      <c r="AA132" s="215"/>
      <c r="AB132" s="215"/>
      <c r="AC132" s="139" t="s">
        <v>74</v>
      </c>
      <c r="AD132" s="139"/>
      <c r="AE132" s="139"/>
      <c r="AF132" s="139"/>
      <c r="AG132" s="139"/>
      <c r="AH132" s="139"/>
      <c r="AI132" s="139"/>
      <c r="AJ132" s="139"/>
      <c r="AK132" s="139"/>
      <c r="AL132" s="140" t="s">
        <v>75</v>
      </c>
      <c r="AM132" s="260">
        <f>+AM58</f>
        <v>0</v>
      </c>
      <c r="AN132" s="260"/>
      <c r="AO132" s="260"/>
      <c r="AP132" s="260"/>
      <c r="AQ132" s="139" t="s">
        <v>74</v>
      </c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40" t="s">
        <v>76</v>
      </c>
      <c r="BB132" s="215"/>
      <c r="BC132" s="215"/>
      <c r="BD132" s="215"/>
      <c r="BE132" s="215"/>
      <c r="BF132" s="139" t="s">
        <v>74</v>
      </c>
      <c r="BG132" s="139"/>
      <c r="BH132" s="141"/>
      <c r="BI132" s="102"/>
    </row>
    <row r="133" spans="1:61" ht="5.0999999999999996" customHeight="1" thickBot="1" x14ac:dyDescent="0.55000000000000004">
      <c r="A133" s="98"/>
      <c r="B133" s="252"/>
      <c r="C133" s="253"/>
      <c r="D133" s="132"/>
      <c r="E133" s="115"/>
      <c r="F133" s="115"/>
      <c r="G133" s="115"/>
      <c r="H133" s="115"/>
      <c r="I133" s="115"/>
      <c r="J133" s="142"/>
      <c r="K133" s="143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269"/>
      <c r="AM133" s="269"/>
      <c r="AN133" s="269"/>
      <c r="AO133" s="269"/>
      <c r="AP133" s="269"/>
      <c r="AQ133" s="269"/>
      <c r="AR133" s="269"/>
      <c r="AS133" s="247"/>
      <c r="AT133" s="247"/>
      <c r="AU133" s="247"/>
      <c r="AV133" s="247"/>
      <c r="AW133" s="247"/>
      <c r="AX133" s="247"/>
      <c r="AY133" s="247"/>
      <c r="AZ133" s="247"/>
      <c r="BA133" s="247"/>
      <c r="BB133" s="247"/>
      <c r="BC133" s="247"/>
      <c r="BD133" s="247"/>
      <c r="BE133" s="247"/>
      <c r="BF133" s="247"/>
      <c r="BG133" s="247"/>
      <c r="BH133" s="259"/>
      <c r="BI133" s="102"/>
    </row>
    <row r="134" spans="1:61" ht="5.0999999999999996" customHeight="1" thickBot="1" x14ac:dyDescent="0.55000000000000004">
      <c r="A134" s="98"/>
      <c r="B134" s="144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  <c r="AH134" s="101"/>
      <c r="AI134" s="101"/>
      <c r="AJ134" s="101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  <c r="AX134" s="101"/>
      <c r="AY134" s="101"/>
      <c r="AZ134" s="101"/>
      <c r="BA134" s="101"/>
      <c r="BB134" s="101"/>
      <c r="BC134" s="101"/>
      <c r="BD134" s="101"/>
      <c r="BE134" s="101"/>
      <c r="BF134" s="101"/>
      <c r="BG134" s="101"/>
      <c r="BH134" s="144"/>
      <c r="BI134" s="102"/>
    </row>
    <row r="135" spans="1:61" ht="18" customHeight="1" x14ac:dyDescent="0.5">
      <c r="A135" s="98"/>
      <c r="B135" s="137" t="s">
        <v>21</v>
      </c>
      <c r="C135" s="138"/>
      <c r="D135" s="138"/>
      <c r="E135" s="138"/>
      <c r="F135" s="138"/>
      <c r="G135" s="138"/>
      <c r="H135" s="145"/>
      <c r="I135" s="145"/>
      <c r="J135" s="146" t="s">
        <v>46</v>
      </c>
      <c r="K135" s="145"/>
      <c r="L135" s="145"/>
      <c r="M135" s="145"/>
      <c r="N135" s="145"/>
      <c r="O135" s="145"/>
      <c r="P135" s="145"/>
      <c r="Q135" s="145"/>
      <c r="R135" s="145"/>
      <c r="S135" s="145"/>
      <c r="T135" s="146" t="s">
        <v>47</v>
      </c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6" t="s">
        <v>48</v>
      </c>
      <c r="AF135" s="145"/>
      <c r="AG135" s="145"/>
      <c r="AH135" s="145"/>
      <c r="AI135" s="146"/>
      <c r="AJ135" s="145"/>
      <c r="AK135" s="145"/>
      <c r="AL135" s="145"/>
      <c r="AM135" s="145"/>
      <c r="AN135" s="145"/>
      <c r="AO135" s="145"/>
      <c r="AP135" s="146" t="s">
        <v>126</v>
      </c>
      <c r="AQ135" s="145"/>
      <c r="AR135" s="145"/>
      <c r="AS135" s="145"/>
      <c r="AT135" s="145"/>
      <c r="AU135" s="146"/>
      <c r="AV135" s="266"/>
      <c r="AW135" s="266"/>
      <c r="AX135" s="266"/>
      <c r="AY135" s="266"/>
      <c r="AZ135" s="266"/>
      <c r="BA135" s="266"/>
      <c r="BB135" s="266"/>
      <c r="BC135" s="266"/>
      <c r="BD135" s="266"/>
      <c r="BE135" s="266"/>
      <c r="BF135" s="266"/>
      <c r="BG135" s="266"/>
      <c r="BH135" s="147"/>
      <c r="BI135" s="102"/>
    </row>
    <row r="136" spans="1:61" ht="5.0999999999999996" customHeight="1" thickBot="1" x14ac:dyDescent="0.55000000000000004">
      <c r="A136" s="98"/>
      <c r="B136" s="252"/>
      <c r="C136" s="253"/>
      <c r="D136" s="132"/>
      <c r="E136" s="115"/>
      <c r="F136" s="115"/>
      <c r="G136" s="115"/>
      <c r="H136" s="115"/>
      <c r="I136" s="115"/>
      <c r="J136" s="142"/>
      <c r="K136" s="143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269"/>
      <c r="AM136" s="269"/>
      <c r="AN136" s="269"/>
      <c r="AO136" s="269"/>
      <c r="AP136" s="269"/>
      <c r="AQ136" s="269"/>
      <c r="AR136" s="269"/>
      <c r="AS136" s="247"/>
      <c r="AT136" s="247"/>
      <c r="AU136" s="247"/>
      <c r="AV136" s="247"/>
      <c r="AW136" s="247"/>
      <c r="AX136" s="247"/>
      <c r="AY136" s="247"/>
      <c r="AZ136" s="247"/>
      <c r="BA136" s="247"/>
      <c r="BB136" s="247"/>
      <c r="BC136" s="247"/>
      <c r="BD136" s="247"/>
      <c r="BE136" s="247"/>
      <c r="BF136" s="247"/>
      <c r="BG136" s="247"/>
      <c r="BH136" s="259"/>
      <c r="BI136" s="102"/>
    </row>
    <row r="137" spans="1:61" ht="5.0999999999999996" customHeight="1" thickBot="1" x14ac:dyDescent="0.55000000000000004">
      <c r="A137" s="98"/>
      <c r="B137" s="148"/>
      <c r="C137" s="148"/>
      <c r="D137" s="149"/>
      <c r="E137" s="150"/>
      <c r="F137" s="150"/>
      <c r="G137" s="150"/>
      <c r="H137" s="150"/>
      <c r="I137" s="150"/>
      <c r="J137" s="151"/>
      <c r="K137" s="152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39"/>
      <c r="AA137" s="150"/>
      <c r="AB137" s="150"/>
      <c r="AC137" s="150"/>
      <c r="AD137" s="150"/>
      <c r="AE137" s="150"/>
      <c r="AF137" s="150"/>
      <c r="AG137" s="150"/>
      <c r="AH137" s="150"/>
      <c r="AI137" s="150"/>
      <c r="AJ137" s="150"/>
      <c r="AK137" s="150"/>
      <c r="AL137" s="153"/>
      <c r="AM137" s="153"/>
      <c r="AN137" s="153"/>
      <c r="AO137" s="153"/>
      <c r="AP137" s="153"/>
      <c r="AQ137" s="153"/>
      <c r="AR137" s="153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02"/>
    </row>
    <row r="138" spans="1:61" ht="15.95" customHeight="1" x14ac:dyDescent="0.5">
      <c r="A138" s="98"/>
      <c r="B138" s="155"/>
      <c r="C138" s="156" t="s">
        <v>35</v>
      </c>
      <c r="D138" s="93"/>
      <c r="E138" s="93"/>
      <c r="F138" s="157"/>
      <c r="G138" s="157" t="s">
        <v>49</v>
      </c>
      <c r="H138" s="158"/>
      <c r="I138" s="158"/>
      <c r="J138" s="158"/>
      <c r="K138" s="158"/>
      <c r="L138" s="158"/>
      <c r="M138" s="158"/>
      <c r="N138" s="158"/>
      <c r="Z138" s="159"/>
      <c r="AB138" s="99" t="s">
        <v>22</v>
      </c>
      <c r="BH138" s="102"/>
      <c r="BI138" s="102"/>
    </row>
    <row r="139" spans="1:61" ht="15.95" customHeight="1" x14ac:dyDescent="0.5">
      <c r="A139" s="98"/>
      <c r="B139" s="239"/>
      <c r="C139" s="240"/>
      <c r="D139" s="127"/>
      <c r="E139" s="93"/>
      <c r="F139" s="157"/>
      <c r="G139" s="157" t="s">
        <v>50</v>
      </c>
      <c r="H139" s="157"/>
      <c r="I139" s="157"/>
      <c r="J139" s="157"/>
      <c r="K139" s="157"/>
      <c r="L139" s="157"/>
      <c r="M139" s="157"/>
      <c r="N139" s="157"/>
      <c r="O139" s="161"/>
      <c r="P139" s="161"/>
      <c r="Q139" s="161"/>
      <c r="R139" s="161"/>
      <c r="S139" s="161"/>
      <c r="T139" s="161"/>
      <c r="Z139" s="159"/>
      <c r="AF139" s="108" t="s">
        <v>53</v>
      </c>
      <c r="AG139" s="241"/>
      <c r="AH139" s="241"/>
      <c r="AI139" s="241"/>
      <c r="AJ139" s="241"/>
      <c r="AK139" s="241"/>
      <c r="AL139" s="241"/>
      <c r="AM139" s="241"/>
      <c r="AN139" s="241"/>
      <c r="AO139" s="241"/>
      <c r="AP139" s="241"/>
      <c r="AQ139" s="241"/>
      <c r="AR139" s="241"/>
      <c r="AS139" s="241"/>
      <c r="AT139" s="241"/>
      <c r="AU139" s="241"/>
      <c r="AV139" s="241"/>
      <c r="AW139" s="99" t="s">
        <v>21</v>
      </c>
      <c r="BH139" s="102"/>
      <c r="BI139" s="102"/>
    </row>
    <row r="140" spans="1:61" ht="15.95" customHeight="1" x14ac:dyDescent="0.5">
      <c r="A140" s="98"/>
      <c r="B140" s="160"/>
      <c r="C140" s="158"/>
      <c r="D140" s="127"/>
      <c r="E140" s="93"/>
      <c r="F140" s="157"/>
      <c r="G140" s="157" t="s">
        <v>51</v>
      </c>
      <c r="H140" s="157"/>
      <c r="I140" s="157"/>
      <c r="J140" s="157"/>
      <c r="K140" s="157"/>
      <c r="L140" s="157"/>
      <c r="M140" s="157"/>
      <c r="N140" s="157"/>
      <c r="O140" s="161"/>
      <c r="P140" s="161"/>
      <c r="Q140" s="161"/>
      <c r="R140" s="161"/>
      <c r="S140" s="161"/>
      <c r="T140" s="161"/>
      <c r="Z140" s="159"/>
      <c r="AF140" s="108"/>
      <c r="AG140" s="334"/>
      <c r="AH140" s="334"/>
      <c r="AI140" s="334"/>
      <c r="AJ140" s="334"/>
      <c r="AK140" s="334"/>
      <c r="AL140" s="334"/>
      <c r="AM140" s="334"/>
      <c r="AN140" s="334"/>
      <c r="AO140" s="334"/>
      <c r="AP140" s="334"/>
      <c r="AQ140" s="334"/>
      <c r="AR140" s="334"/>
      <c r="AS140" s="334"/>
      <c r="AT140" s="334"/>
      <c r="AU140" s="334"/>
      <c r="AV140" s="334"/>
      <c r="BH140" s="102"/>
      <c r="BI140" s="102"/>
    </row>
    <row r="141" spans="1:61" ht="15.95" customHeight="1" x14ac:dyDescent="0.5">
      <c r="A141" s="98"/>
      <c r="B141" s="160"/>
      <c r="C141" s="158"/>
      <c r="D141" s="158"/>
      <c r="E141" s="158"/>
      <c r="F141" s="157"/>
      <c r="G141" s="157" t="s">
        <v>52</v>
      </c>
      <c r="H141" s="157"/>
      <c r="I141" s="157"/>
      <c r="J141" s="157"/>
      <c r="K141" s="157"/>
      <c r="L141" s="157"/>
      <c r="M141" s="157"/>
      <c r="N141" s="158"/>
      <c r="Z141" s="159"/>
      <c r="AI141" s="238" t="str">
        <f>AI67</f>
        <v>31/12/2025</v>
      </c>
      <c r="AJ141" s="238"/>
      <c r="AK141" s="238"/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100"/>
      <c r="AV141" s="100"/>
      <c r="AW141" s="100"/>
      <c r="AX141" s="100"/>
      <c r="AY141" s="100"/>
      <c r="AZ141" s="100"/>
      <c r="BH141" s="102"/>
      <c r="BI141" s="102"/>
    </row>
    <row r="142" spans="1:61" ht="15.95" customHeight="1" x14ac:dyDescent="0.5">
      <c r="A142" s="98"/>
      <c r="B142" s="239"/>
      <c r="C142" s="240"/>
      <c r="D142" s="93"/>
      <c r="E142" s="93"/>
      <c r="F142" s="157"/>
      <c r="I142" s="157"/>
      <c r="J142" s="157"/>
      <c r="K142" s="157"/>
      <c r="L142" s="157"/>
      <c r="M142" s="157"/>
      <c r="N142" s="93"/>
      <c r="T142" s="100"/>
      <c r="U142" s="100"/>
      <c r="V142" s="100"/>
      <c r="Z142" s="159"/>
      <c r="AE142" s="93"/>
      <c r="AF142" s="93"/>
      <c r="AG142" s="93"/>
      <c r="AI142" s="93" t="s">
        <v>54</v>
      </c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100"/>
      <c r="BH142" s="102"/>
      <c r="BI142" s="102"/>
    </row>
    <row r="143" spans="1:61" ht="3" customHeight="1" thickBot="1" x14ac:dyDescent="0.55000000000000004">
      <c r="A143" s="98"/>
      <c r="B143" s="160"/>
      <c r="C143" s="100"/>
      <c r="D143" s="100"/>
      <c r="E143" s="100"/>
      <c r="F143" s="157"/>
      <c r="G143" s="157"/>
      <c r="H143" s="157"/>
      <c r="I143" s="157"/>
      <c r="J143" s="157"/>
      <c r="K143" s="157"/>
      <c r="L143" s="157"/>
      <c r="M143" s="157"/>
      <c r="N143" s="100"/>
      <c r="T143" s="93"/>
      <c r="U143" s="93"/>
      <c r="V143" s="93"/>
      <c r="W143" s="162"/>
      <c r="X143" s="162"/>
      <c r="Y143" s="162"/>
      <c r="Z143" s="163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  <c r="AM143" s="162"/>
      <c r="AN143" s="162"/>
      <c r="AO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100"/>
      <c r="BC143" s="93"/>
      <c r="BH143" s="102"/>
      <c r="BI143" s="102"/>
    </row>
    <row r="144" spans="1:61" ht="5.0999999999999996" customHeight="1" thickBot="1" x14ac:dyDescent="0.55000000000000004">
      <c r="A144" s="114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15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0"/>
      <c r="AK144" s="150"/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17"/>
    </row>
    <row r="145" spans="2:60" s="93" customFormat="1" ht="15.95" customHeight="1" x14ac:dyDescent="0.5">
      <c r="B145" s="164" t="s">
        <v>34</v>
      </c>
      <c r="C145" s="157"/>
      <c r="E145" s="157"/>
      <c r="F145" s="157"/>
      <c r="G145" s="157" t="s">
        <v>77</v>
      </c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 t="s">
        <v>78</v>
      </c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57"/>
      <c r="BG145" s="157"/>
      <c r="BH145" s="157"/>
    </row>
    <row r="146" spans="2:60" s="93" customFormat="1" ht="15.95" customHeight="1" x14ac:dyDescent="0.5">
      <c r="D146" s="156"/>
      <c r="X146" s="93" t="s">
        <v>79</v>
      </c>
    </row>
    <row r="147" spans="2:60" s="93" customFormat="1" ht="15.95" customHeight="1" x14ac:dyDescent="0.5">
      <c r="D147" s="156"/>
      <c r="X147" s="93" t="s">
        <v>80</v>
      </c>
    </row>
    <row r="148" spans="2:60" ht="5.0999999999999996" customHeight="1" x14ac:dyDescent="0.5"/>
  </sheetData>
  <customSheetViews>
    <customSheetView guid="{DAA1B935-B3DA-4E8A-8ABC-337A4C514C4F}" showGridLines="0" hiddenColumns="1" showRuler="0">
      <selection activeCell="BY5" sqref="BY5:CF5"/>
      <pageMargins left="0.19685039370078741" right="0.19685039370078741" top="0.35433070866141736" bottom="0.23622047244094491" header="0" footer="0"/>
      <printOptions horizontalCentered="1"/>
      <pageSetup paperSize="9" scale="90" fitToHeight="2" orientation="portrait" horizontalDpi="180" verticalDpi="180" r:id="rId1"/>
      <headerFooter alignWithMargins="0"/>
    </customSheetView>
    <customSheetView guid="{1A58FC97-1235-4D36-9314-B4B392336C5F}" showGridLines="0" hiddenColumns="1">
      <selection activeCell="BC5" sqref="BC5:BH5"/>
      <pageMargins left="0.19685039370078741" right="0.19685039370078741" top="0.35433070866141736" bottom="0.23622047244094491" header="0" footer="0"/>
      <printOptions horizontalCentered="1"/>
      <pageSetup paperSize="9" scale="90" fitToHeight="2" orientation="portrait" horizontalDpi="180" verticalDpi="180" r:id="rId2"/>
      <headerFooter alignWithMargins="0"/>
    </customSheetView>
  </customSheetViews>
  <mergeCells count="404">
    <mergeCell ref="BA106:BB106"/>
    <mergeCell ref="BA90:BB90"/>
    <mergeCell ref="BC90:BD90"/>
    <mergeCell ref="AI68:AS68"/>
    <mergeCell ref="Y25:AF26"/>
    <mergeCell ref="AH23:AP23"/>
    <mergeCell ref="AH25:AP26"/>
    <mergeCell ref="BA30:BH30"/>
    <mergeCell ref="AR25:AY26"/>
    <mergeCell ref="B28:AJ29"/>
    <mergeCell ref="AS43:AZ43"/>
    <mergeCell ref="AK32:AR32"/>
    <mergeCell ref="F23:J23"/>
    <mergeCell ref="AK43:AR43"/>
    <mergeCell ref="AK41:AR41"/>
    <mergeCell ref="AK36:AR36"/>
    <mergeCell ref="AK37:AR37"/>
    <mergeCell ref="AS41:AZ41"/>
    <mergeCell ref="AK42:AR42"/>
    <mergeCell ref="AK33:AR33"/>
    <mergeCell ref="AS31:AZ31"/>
    <mergeCell ref="AK28:AR28"/>
    <mergeCell ref="B27:BH27"/>
    <mergeCell ref="BA29:BH29"/>
    <mergeCell ref="AK46:AR46"/>
    <mergeCell ref="AG140:AV140"/>
    <mergeCell ref="BC123:BH123"/>
    <mergeCell ref="AK49:AR49"/>
    <mergeCell ref="BC49:BH49"/>
    <mergeCell ref="AS49:AZ49"/>
    <mergeCell ref="BA49:BB49"/>
    <mergeCell ref="AK84:AL84"/>
    <mergeCell ref="AN84:AO84"/>
    <mergeCell ref="AI90:AJ90"/>
    <mergeCell ref="K78:AY78"/>
    <mergeCell ref="AD82:AE82"/>
    <mergeCell ref="AG82:AH82"/>
    <mergeCell ref="AM82:AN82"/>
    <mergeCell ref="K79:AY79"/>
    <mergeCell ref="AM90:AN90"/>
    <mergeCell ref="AP84:AQ84"/>
    <mergeCell ref="AI82:AJ82"/>
    <mergeCell ref="AG66:AV66"/>
    <mergeCell ref="Y58:AB58"/>
    <mergeCell ref="BA107:BB107"/>
    <mergeCell ref="BC107:BH107"/>
    <mergeCell ref="BA92:BB92"/>
    <mergeCell ref="D92:W92"/>
    <mergeCell ref="AV61:BG61"/>
    <mergeCell ref="BA62:BH62"/>
    <mergeCell ref="AV82:AW82"/>
    <mergeCell ref="B59:C59"/>
    <mergeCell ref="B52:C52"/>
    <mergeCell ref="P56:BG56"/>
    <mergeCell ref="AM58:AP58"/>
    <mergeCell ref="AS53:AZ53"/>
    <mergeCell ref="BA44:BB44"/>
    <mergeCell ref="I52:AI52"/>
    <mergeCell ref="BA51:BB51"/>
    <mergeCell ref="N47:AI47"/>
    <mergeCell ref="AK52:AR52"/>
    <mergeCell ref="B49:C49"/>
    <mergeCell ref="B48:C48"/>
    <mergeCell ref="BA53:BH53"/>
    <mergeCell ref="AS47:AZ47"/>
    <mergeCell ref="AK47:AR47"/>
    <mergeCell ref="BC46:BH46"/>
    <mergeCell ref="BC45:BH45"/>
    <mergeCell ref="AS51:AZ51"/>
    <mergeCell ref="AS46:AZ46"/>
    <mergeCell ref="AK44:AR44"/>
    <mergeCell ref="AS44:AZ44"/>
    <mergeCell ref="B31:C31"/>
    <mergeCell ref="AK34:AR34"/>
    <mergeCell ref="AK30:AR30"/>
    <mergeCell ref="AK31:AR31"/>
    <mergeCell ref="BA28:BH28"/>
    <mergeCell ref="AS42:AZ42"/>
    <mergeCell ref="B24:BH24"/>
    <mergeCell ref="AK29:AR29"/>
    <mergeCell ref="AL59:AR59"/>
    <mergeCell ref="AS59:AZ59"/>
    <mergeCell ref="BA59:BH59"/>
    <mergeCell ref="AS28:AZ29"/>
    <mergeCell ref="AS32:AZ32"/>
    <mergeCell ref="AK45:AR45"/>
    <mergeCell ref="AS35:AZ35"/>
    <mergeCell ref="B32:C32"/>
    <mergeCell ref="B33:C33"/>
    <mergeCell ref="AS30:AZ30"/>
    <mergeCell ref="B34:C34"/>
    <mergeCell ref="BA35:BB35"/>
    <mergeCell ref="BA48:BB48"/>
    <mergeCell ref="AS52:AZ52"/>
    <mergeCell ref="B53:C53"/>
    <mergeCell ref="AS45:AZ45"/>
    <mergeCell ref="AI67:AT67"/>
    <mergeCell ref="BC78:BH78"/>
    <mergeCell ref="AS62:AZ62"/>
    <mergeCell ref="B62:C62"/>
    <mergeCell ref="B66:C66"/>
    <mergeCell ref="D86:BG86"/>
    <mergeCell ref="AR84:AS84"/>
    <mergeCell ref="AY84:AZ84"/>
    <mergeCell ref="B80:BH80"/>
    <mergeCell ref="BF82:BG82"/>
    <mergeCell ref="AK82:AL82"/>
    <mergeCell ref="BA82:BB82"/>
    <mergeCell ref="BF84:BG84"/>
    <mergeCell ref="BC82:BD82"/>
    <mergeCell ref="BC79:BH79"/>
    <mergeCell ref="AR82:AS82"/>
    <mergeCell ref="AX82:AY82"/>
    <mergeCell ref="AL62:AR62"/>
    <mergeCell ref="AT84:AU84"/>
    <mergeCell ref="AG65:AV65"/>
    <mergeCell ref="K4:AY4"/>
    <mergeCell ref="B55:BH55"/>
    <mergeCell ref="BC16:BD16"/>
    <mergeCell ref="BA32:BB32"/>
    <mergeCell ref="B30:C30"/>
    <mergeCell ref="B50:C50"/>
    <mergeCell ref="B51:C51"/>
    <mergeCell ref="AS54:AZ54"/>
    <mergeCell ref="AK40:AR40"/>
    <mergeCell ref="AS40:AZ40"/>
    <mergeCell ref="K5:AY5"/>
    <mergeCell ref="AN18:AO18"/>
    <mergeCell ref="AP18:AQ18"/>
    <mergeCell ref="B54:Z54"/>
    <mergeCell ref="AS50:AZ50"/>
    <mergeCell ref="AS34:AZ34"/>
    <mergeCell ref="AK38:AR38"/>
    <mergeCell ref="AS37:AZ37"/>
    <mergeCell ref="AK35:AR35"/>
    <mergeCell ref="BC32:BH32"/>
    <mergeCell ref="BC33:BH33"/>
    <mergeCell ref="BA8:BB8"/>
    <mergeCell ref="AM8:AN8"/>
    <mergeCell ref="AP10:AQ10"/>
    <mergeCell ref="AS102:AZ103"/>
    <mergeCell ref="AP92:AQ92"/>
    <mergeCell ref="AT92:AU92"/>
    <mergeCell ref="AW92:AX92"/>
    <mergeCell ref="AR97:AY97"/>
    <mergeCell ref="AY92:AZ92"/>
    <mergeCell ref="D94:BG94"/>
    <mergeCell ref="BC92:BD92"/>
    <mergeCell ref="BF92:BG92"/>
    <mergeCell ref="BA102:BH102"/>
    <mergeCell ref="F97:J97"/>
    <mergeCell ref="AH97:AP97"/>
    <mergeCell ref="AR92:AS92"/>
    <mergeCell ref="AK92:AL92"/>
    <mergeCell ref="AN92:AO92"/>
    <mergeCell ref="B98:BH98"/>
    <mergeCell ref="BA97:BG97"/>
    <mergeCell ref="BA104:BH104"/>
    <mergeCell ref="B108:C108"/>
    <mergeCell ref="AK108:AR108"/>
    <mergeCell ref="AS108:AZ108"/>
    <mergeCell ref="AS105:AZ105"/>
    <mergeCell ref="AR99:AY100"/>
    <mergeCell ref="AK109:AR109"/>
    <mergeCell ref="AS109:AZ109"/>
    <mergeCell ref="B106:C106"/>
    <mergeCell ref="AK106:AR106"/>
    <mergeCell ref="AS106:AZ106"/>
    <mergeCell ref="B104:C104"/>
    <mergeCell ref="B105:C105"/>
    <mergeCell ref="AK105:AR105"/>
    <mergeCell ref="AK104:AR104"/>
    <mergeCell ref="B107:C107"/>
    <mergeCell ref="AS104:AZ104"/>
    <mergeCell ref="Y99:AF100"/>
    <mergeCell ref="AH99:AP100"/>
    <mergeCell ref="B102:AJ103"/>
    <mergeCell ref="AS107:AZ107"/>
    <mergeCell ref="AK107:AR107"/>
    <mergeCell ref="AK102:AR102"/>
    <mergeCell ref="AK103:AR103"/>
    <mergeCell ref="BC120:BH120"/>
    <mergeCell ref="BC119:BH119"/>
    <mergeCell ref="BC118:BH118"/>
    <mergeCell ref="BA120:BB120"/>
    <mergeCell ref="AK118:AR118"/>
    <mergeCell ref="AK115:AR115"/>
    <mergeCell ref="AS120:AZ120"/>
    <mergeCell ref="BC109:BH109"/>
    <mergeCell ref="BA117:BB117"/>
    <mergeCell ref="BC117:BH117"/>
    <mergeCell ref="BA116:BB116"/>
    <mergeCell ref="BC116:BH116"/>
    <mergeCell ref="BA112:BB112"/>
    <mergeCell ref="BA111:BB111"/>
    <mergeCell ref="BC111:BH111"/>
    <mergeCell ref="BC115:BH115"/>
    <mergeCell ref="BA114:BB114"/>
    <mergeCell ref="BC114:BH114"/>
    <mergeCell ref="AS118:AZ118"/>
    <mergeCell ref="BC112:BH112"/>
    <mergeCell ref="BA113:BB113"/>
    <mergeCell ref="BC113:BH113"/>
    <mergeCell ref="AK116:AR116"/>
    <mergeCell ref="AS116:AZ116"/>
    <mergeCell ref="BA108:BB108"/>
    <mergeCell ref="BA109:BB109"/>
    <mergeCell ref="BC108:BH108"/>
    <mergeCell ref="AS114:AZ114"/>
    <mergeCell ref="AK112:AR112"/>
    <mergeCell ref="AS112:AZ112"/>
    <mergeCell ref="AK113:AR113"/>
    <mergeCell ref="AS113:AZ113"/>
    <mergeCell ref="AK110:AR110"/>
    <mergeCell ref="AS110:AZ110"/>
    <mergeCell ref="AK111:AR111"/>
    <mergeCell ref="AS111:AZ111"/>
    <mergeCell ref="AK114:AR114"/>
    <mergeCell ref="AK121:AR121"/>
    <mergeCell ref="AS121:AZ121"/>
    <mergeCell ref="BA121:BB121"/>
    <mergeCell ref="AS115:AZ115"/>
    <mergeCell ref="AK119:AR119"/>
    <mergeCell ref="AS119:AZ119"/>
    <mergeCell ref="BA118:BB118"/>
    <mergeCell ref="BA119:BB119"/>
    <mergeCell ref="AS123:AZ123"/>
    <mergeCell ref="BA123:BB123"/>
    <mergeCell ref="AK123:AR123"/>
    <mergeCell ref="AS122:AZ122"/>
    <mergeCell ref="AK120:AR120"/>
    <mergeCell ref="AK117:AR117"/>
    <mergeCell ref="AS117:AZ117"/>
    <mergeCell ref="BA115:BB115"/>
    <mergeCell ref="B123:C123"/>
    <mergeCell ref="AM132:AP132"/>
    <mergeCell ref="P130:BG130"/>
    <mergeCell ref="BC125:BH125"/>
    <mergeCell ref="BA124:BB124"/>
    <mergeCell ref="BC124:BH124"/>
    <mergeCell ref="AS124:AZ124"/>
    <mergeCell ref="B133:C133"/>
    <mergeCell ref="BA136:BH136"/>
    <mergeCell ref="AV135:BG135"/>
    <mergeCell ref="BA125:BB125"/>
    <mergeCell ref="AS126:AZ126"/>
    <mergeCell ref="BB132:BE132"/>
    <mergeCell ref="AS136:AZ136"/>
    <mergeCell ref="AS125:AZ125"/>
    <mergeCell ref="AS127:AZ127"/>
    <mergeCell ref="AL136:AR136"/>
    <mergeCell ref="AL133:AR133"/>
    <mergeCell ref="BA126:BB126"/>
    <mergeCell ref="BA133:BH133"/>
    <mergeCell ref="AK124:AR124"/>
    <mergeCell ref="B136:C136"/>
    <mergeCell ref="B126:C126"/>
    <mergeCell ref="BC126:BH126"/>
    <mergeCell ref="B144:N144"/>
    <mergeCell ref="AI141:AT141"/>
    <mergeCell ref="B142:C142"/>
    <mergeCell ref="B139:C139"/>
    <mergeCell ref="AG139:AV139"/>
    <mergeCell ref="B122:C122"/>
    <mergeCell ref="AK122:AR122"/>
    <mergeCell ref="B70:N70"/>
    <mergeCell ref="B68:C68"/>
    <mergeCell ref="AS133:AZ133"/>
    <mergeCell ref="D84:W84"/>
    <mergeCell ref="B129:BH129"/>
    <mergeCell ref="AS128:AZ128"/>
    <mergeCell ref="BA128:BH128"/>
    <mergeCell ref="B128:Z128"/>
    <mergeCell ref="B127:C127"/>
    <mergeCell ref="AL127:AR127"/>
    <mergeCell ref="B124:C124"/>
    <mergeCell ref="I126:AI126"/>
    <mergeCell ref="B125:C125"/>
    <mergeCell ref="AK126:AR126"/>
    <mergeCell ref="Y132:AB132"/>
    <mergeCell ref="BA127:BH127"/>
    <mergeCell ref="BC121:BH121"/>
    <mergeCell ref="BL16:BO16"/>
    <mergeCell ref="D12:BG12"/>
    <mergeCell ref="BA16:BB16"/>
    <mergeCell ref="AM16:AN16"/>
    <mergeCell ref="AR16:AS16"/>
    <mergeCell ref="AT16:AU16"/>
    <mergeCell ref="AD16:AE16"/>
    <mergeCell ref="AG16:AH16"/>
    <mergeCell ref="AP16:AQ16"/>
    <mergeCell ref="AX16:AY16"/>
    <mergeCell ref="BF16:BG16"/>
    <mergeCell ref="AV16:AW16"/>
    <mergeCell ref="AI16:AJ16"/>
    <mergeCell ref="AG8:AH8"/>
    <mergeCell ref="AI8:AJ8"/>
    <mergeCell ref="AK10:AL10"/>
    <mergeCell ref="AN10:AO10"/>
    <mergeCell ref="AY10:AZ10"/>
    <mergeCell ref="AR10:AS10"/>
    <mergeCell ref="AK16:AL16"/>
    <mergeCell ref="BF10:BG10"/>
    <mergeCell ref="D20:BG20"/>
    <mergeCell ref="D18:W18"/>
    <mergeCell ref="D10:W10"/>
    <mergeCell ref="AP8:AQ8"/>
    <mergeCell ref="BC8:BD8"/>
    <mergeCell ref="AK8:AL8"/>
    <mergeCell ref="AD8:AE8"/>
    <mergeCell ref="AW10:AX10"/>
    <mergeCell ref="BF8:BG8"/>
    <mergeCell ref="AT10:AU10"/>
    <mergeCell ref="AV8:AW8"/>
    <mergeCell ref="AX8:AY8"/>
    <mergeCell ref="AT8:AU8"/>
    <mergeCell ref="AR8:AS8"/>
    <mergeCell ref="AR18:AS18"/>
    <mergeCell ref="BA23:BG23"/>
    <mergeCell ref="AT18:AU18"/>
    <mergeCell ref="BF18:BG18"/>
    <mergeCell ref="Y23:AF23"/>
    <mergeCell ref="AK18:AL18"/>
    <mergeCell ref="BC35:BH35"/>
    <mergeCell ref="BA31:BB31"/>
    <mergeCell ref="AS33:AZ33"/>
    <mergeCell ref="BC31:BH31"/>
    <mergeCell ref="BA33:BB33"/>
    <mergeCell ref="AW18:AX18"/>
    <mergeCell ref="AY18:AZ18"/>
    <mergeCell ref="AR23:AY23"/>
    <mergeCell ref="BA34:BB34"/>
    <mergeCell ref="BY4:CB4"/>
    <mergeCell ref="BY5:CF5"/>
    <mergeCell ref="B6:BH6"/>
    <mergeCell ref="BC4:BH4"/>
    <mergeCell ref="BC5:BH5"/>
    <mergeCell ref="BC44:BH44"/>
    <mergeCell ref="BC52:BH52"/>
    <mergeCell ref="AS48:AZ48"/>
    <mergeCell ref="BC10:BD10"/>
    <mergeCell ref="BC42:BH42"/>
    <mergeCell ref="BA18:BB18"/>
    <mergeCell ref="BA39:BB39"/>
    <mergeCell ref="BA42:BB42"/>
    <mergeCell ref="BC18:BD18"/>
    <mergeCell ref="BA10:BB10"/>
    <mergeCell ref="AK39:AR39"/>
    <mergeCell ref="BA43:BB43"/>
    <mergeCell ref="BC47:BH47"/>
    <mergeCell ref="BA47:BB47"/>
    <mergeCell ref="BA41:BB41"/>
    <mergeCell ref="BC34:BH34"/>
    <mergeCell ref="BA37:BB37"/>
    <mergeCell ref="BA45:BB45"/>
    <mergeCell ref="BA52:BB52"/>
    <mergeCell ref="AP90:AQ90"/>
    <mergeCell ref="AT90:AU90"/>
    <mergeCell ref="AT82:AU82"/>
    <mergeCell ref="AR90:AS90"/>
    <mergeCell ref="AK90:AL90"/>
    <mergeCell ref="AD90:AE90"/>
    <mergeCell ref="AG90:AH90"/>
    <mergeCell ref="BF90:BG90"/>
    <mergeCell ref="AW84:AX84"/>
    <mergeCell ref="AX90:AY90"/>
    <mergeCell ref="BA54:BH54"/>
    <mergeCell ref="BC122:BH122"/>
    <mergeCell ref="BA122:BB122"/>
    <mergeCell ref="BA105:BB105"/>
    <mergeCell ref="BC105:BH105"/>
    <mergeCell ref="BC48:BH48"/>
    <mergeCell ref="BC50:BH50"/>
    <mergeCell ref="BC106:BH106"/>
    <mergeCell ref="BC51:BH51"/>
    <mergeCell ref="B101:BH101"/>
    <mergeCell ref="AL53:AR53"/>
    <mergeCell ref="AK50:AR50"/>
    <mergeCell ref="BA103:BH103"/>
    <mergeCell ref="BA84:BB84"/>
    <mergeCell ref="BA50:BB50"/>
    <mergeCell ref="Y97:AF97"/>
    <mergeCell ref="N121:AI121"/>
    <mergeCell ref="BC84:BD84"/>
    <mergeCell ref="BA110:BB110"/>
    <mergeCell ref="BC110:BH110"/>
    <mergeCell ref="AK48:AR48"/>
    <mergeCell ref="AP82:AQ82"/>
    <mergeCell ref="BB58:BE58"/>
    <mergeCell ref="AV90:AW90"/>
    <mergeCell ref="BA40:BB40"/>
    <mergeCell ref="BC40:BH40"/>
    <mergeCell ref="BC36:BH36"/>
    <mergeCell ref="BC37:BH37"/>
    <mergeCell ref="BC38:BH38"/>
    <mergeCell ref="BA36:BB36"/>
    <mergeCell ref="BA46:BB46"/>
    <mergeCell ref="BC39:BH39"/>
    <mergeCell ref="AS38:AZ38"/>
    <mergeCell ref="AS36:AZ36"/>
    <mergeCell ref="BA38:BB38"/>
    <mergeCell ref="BC41:BH41"/>
    <mergeCell ref="AS39:AZ39"/>
    <mergeCell ref="BC43:BH43"/>
  </mergeCells>
  <phoneticPr fontId="0" type="noConversion"/>
  <conditionalFormatting sqref="BL23:BR23 BL61:BO61">
    <cfRule type="cellIs" dxfId="0" priority="1" stopIfTrue="1" operator="equal">
      <formula>TRUE</formula>
    </cfRule>
  </conditionalFormatting>
  <dataValidations xWindow="869" yWindow="346" count="2">
    <dataValidation type="list" allowBlank="1" showInputMessage="1" showErrorMessage="1" sqref="BY5:CF5" xr:uid="{00000000-0002-0000-0200-000000000000}">
      <formula1>List_Month</formula1>
    </dataValidation>
    <dataValidation type="list" allowBlank="1" showInputMessage="1" showErrorMessage="1" promptTitle="คำแนะนำ" prompt="เลือกเลขที่เอกสารที่ต้องการพิมพ์" sqref="BC5:BH5" xr:uid="{00000000-0002-0000-0200-000001000000}">
      <formula1>List_Doc_No</formula1>
    </dataValidation>
  </dataValidations>
  <printOptions horizontalCentered="1"/>
  <pageMargins left="0.66122047244094484" right="0.23622047244094488" top="0.90999999999999992" bottom="0.17" header="0.11811023622047244" footer="0.27559055118110237"/>
  <pageSetup paperSize="9" scale="85" orientation="portrait" horizontalDpi="4294967293" r:id="rId3"/>
  <headerFooter alignWithMargins="0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" r:id="rId6" name="Check Box 316">
              <controlPr defaultSize="0" autoFill="0" autoLine="0" autoPict="0">
                <anchor moveWithCells="1">
                  <from>
                    <xdr:col>22</xdr:col>
                    <xdr:colOff>19050</xdr:colOff>
                    <xdr:row>22</xdr:row>
                    <xdr:rowOff>0</xdr:rowOff>
                  </from>
                  <to>
                    <xdr:col>23</xdr:col>
                    <xdr:colOff>104775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7" name="Check Box 317">
              <controlPr defaultSize="0" autoFill="0" autoLine="0" autoPict="0">
                <anchor moveWithCells="1">
                  <from>
                    <xdr:col>31</xdr:col>
                    <xdr:colOff>0</xdr:colOff>
                    <xdr:row>22</xdr:row>
                    <xdr:rowOff>9525</xdr:rowOff>
                  </from>
                  <to>
                    <xdr:col>32</xdr:col>
                    <xdr:colOff>66675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8" name="Check Box 318">
              <controlPr defaultSize="0" autoFill="0" autoLine="0" autoPict="0">
                <anchor moveWithCells="1">
                  <from>
                    <xdr:col>41</xdr:col>
                    <xdr:colOff>0</xdr:colOff>
                    <xdr:row>22</xdr:row>
                    <xdr:rowOff>38100</xdr:rowOff>
                  </from>
                  <to>
                    <xdr:col>42</xdr:col>
                    <xdr:colOff>66675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9" name="Check Box 319">
              <controlPr defaultSize="0" autoFill="0" autoLine="0" autoPict="0">
                <anchor moveWithCells="1">
                  <from>
                    <xdr:col>50</xdr:col>
                    <xdr:colOff>38100</xdr:colOff>
                    <xdr:row>22</xdr:row>
                    <xdr:rowOff>9525</xdr:rowOff>
                  </from>
                  <to>
                    <xdr:col>51</xdr:col>
                    <xdr:colOff>95250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10" name="Check Box 320">
              <controlPr defaultSize="0" autoFill="0" autoLine="0" autoPict="0">
                <anchor moveWithCells="1">
                  <from>
                    <xdr:col>22</xdr:col>
                    <xdr:colOff>19050</xdr:colOff>
                    <xdr:row>24</xdr:row>
                    <xdr:rowOff>0</xdr:rowOff>
                  </from>
                  <to>
                    <xdr:col>23</xdr:col>
                    <xdr:colOff>104775</xdr:colOff>
                    <xdr:row>25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11" name="Check Box 321">
              <controlPr defaultSize="0" autoFill="0" autoLine="0" autoPict="0">
                <anchor moveWithCells="1">
                  <from>
                    <xdr:col>31</xdr:col>
                    <xdr:colOff>0</xdr:colOff>
                    <xdr:row>24</xdr:row>
                    <xdr:rowOff>0</xdr:rowOff>
                  </from>
                  <to>
                    <xdr:col>32</xdr:col>
                    <xdr:colOff>66675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12" name="Check Box 322">
              <controlPr defaultSize="0" autoFill="0" autoLine="0" autoPict="0">
                <anchor moveWithCells="1">
                  <from>
                    <xdr:col>41</xdr:col>
                    <xdr:colOff>0</xdr:colOff>
                    <xdr:row>24</xdr:row>
                    <xdr:rowOff>28575</xdr:rowOff>
                  </from>
                  <to>
                    <xdr:col>42</xdr:col>
                    <xdr:colOff>66675</xdr:colOff>
                    <xdr:row>25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13" name="Check Box 323">
              <controlPr defaultSize="0" autoFill="0" autoLine="0" autoPict="0">
                <anchor moveWithCells="1">
                  <from>
                    <xdr:col>6</xdr:col>
                    <xdr:colOff>104775</xdr:colOff>
                    <xdr:row>60</xdr:row>
                    <xdr:rowOff>66675</xdr:rowOff>
                  </from>
                  <to>
                    <xdr:col>8</xdr:col>
                    <xdr:colOff>85725</xdr:colOff>
                    <xdr:row>60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14" name="Check Box 324">
              <controlPr defaultSize="0" autoFill="0" autoLine="0" autoPict="0">
                <anchor moveWithCells="1">
                  <from>
                    <xdr:col>17</xdr:col>
                    <xdr:colOff>0</xdr:colOff>
                    <xdr:row>60</xdr:row>
                    <xdr:rowOff>66675</xdr:rowOff>
                  </from>
                  <to>
                    <xdr:col>18</xdr:col>
                    <xdr:colOff>57150</xdr:colOff>
                    <xdr:row>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15" name="Check Box 325">
              <controlPr defaultSize="0" autoFill="0" autoLine="0" autoPict="0">
                <anchor moveWithCells="1">
                  <from>
                    <xdr:col>27</xdr:col>
                    <xdr:colOff>95250</xdr:colOff>
                    <xdr:row>60</xdr:row>
                    <xdr:rowOff>66675</xdr:rowOff>
                  </from>
                  <to>
                    <xdr:col>29</xdr:col>
                    <xdr:colOff>57150</xdr:colOff>
                    <xdr:row>60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16" name="Check Box 326">
              <controlPr defaultSize="0" autoFill="0" autoLine="0" autoPict="0">
                <anchor moveWithCells="1">
                  <from>
                    <xdr:col>38</xdr:col>
                    <xdr:colOff>57150</xdr:colOff>
                    <xdr:row>60</xdr:row>
                    <xdr:rowOff>57150</xdr:rowOff>
                  </from>
                  <to>
                    <xdr:col>40</xdr:col>
                    <xdr:colOff>0</xdr:colOff>
                    <xdr:row>60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17" name="Check Box 329">
              <controlPr defaultSize="0" autoFill="0" autoLine="0" autoPict="0">
                <anchor moveWithCells="1">
                  <from>
                    <xdr:col>20</xdr:col>
                    <xdr:colOff>38100</xdr:colOff>
                    <xdr:row>96</xdr:row>
                    <xdr:rowOff>9525</xdr:rowOff>
                  </from>
                  <to>
                    <xdr:col>21</xdr:col>
                    <xdr:colOff>95250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18" name="Check Box 330">
              <controlPr defaultSize="0" autoFill="0" autoLine="0" autoPict="0">
                <anchor moveWithCells="1">
                  <from>
                    <xdr:col>30</xdr:col>
                    <xdr:colOff>95250</xdr:colOff>
                    <xdr:row>96</xdr:row>
                    <xdr:rowOff>38100</xdr:rowOff>
                  </from>
                  <to>
                    <xdr:col>32</xdr:col>
                    <xdr:colOff>38100</xdr:colOff>
                    <xdr:row>97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19" name="Check Box 331">
              <controlPr defaultSize="0" autoFill="0" autoLine="0" autoPict="0">
                <anchor moveWithCells="1">
                  <from>
                    <xdr:col>40</xdr:col>
                    <xdr:colOff>57150</xdr:colOff>
                    <xdr:row>96</xdr:row>
                    <xdr:rowOff>47625</xdr:rowOff>
                  </from>
                  <to>
                    <xdr:col>42</xdr:col>
                    <xdr:colOff>19050</xdr:colOff>
                    <xdr:row>97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0" name="Check Box 332">
              <controlPr defaultSize="0" autoFill="0" autoLine="0" autoPict="0">
                <anchor moveWithCells="1">
                  <from>
                    <xdr:col>49</xdr:col>
                    <xdr:colOff>104775</xdr:colOff>
                    <xdr:row>95</xdr:row>
                    <xdr:rowOff>38100</xdr:rowOff>
                  </from>
                  <to>
                    <xdr:col>51</xdr:col>
                    <xdr:colOff>57150</xdr:colOff>
                    <xdr:row>96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1" name="Check Box 333">
              <controlPr defaultSize="0" autoFill="0" autoLine="0" autoPict="0">
                <anchor moveWithCells="1">
                  <from>
                    <xdr:col>20</xdr:col>
                    <xdr:colOff>38100</xdr:colOff>
                    <xdr:row>98</xdr:row>
                    <xdr:rowOff>0</xdr:rowOff>
                  </from>
                  <to>
                    <xdr:col>21</xdr:col>
                    <xdr:colOff>95250</xdr:colOff>
                    <xdr:row>99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2" name="Check Box 334">
              <controlPr defaultSize="0" autoFill="0" autoLine="0" autoPict="0">
                <anchor moveWithCells="1">
                  <from>
                    <xdr:col>30</xdr:col>
                    <xdr:colOff>95250</xdr:colOff>
                    <xdr:row>98</xdr:row>
                    <xdr:rowOff>28575</xdr:rowOff>
                  </from>
                  <to>
                    <xdr:col>32</xdr:col>
                    <xdr:colOff>38100</xdr:colOff>
                    <xdr:row>99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3" name="Check Box 335">
              <controlPr defaultSize="0" autoFill="0" autoLine="0" autoPict="0">
                <anchor moveWithCells="1">
                  <from>
                    <xdr:col>40</xdr:col>
                    <xdr:colOff>57150</xdr:colOff>
                    <xdr:row>98</xdr:row>
                    <xdr:rowOff>38100</xdr:rowOff>
                  </from>
                  <to>
                    <xdr:col>42</xdr:col>
                    <xdr:colOff>19050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4" name="Check Box 336">
              <controlPr defaultSize="0" autoFill="0" autoLine="0" autoPict="0">
                <anchor moveWithCells="1">
                  <from>
                    <xdr:col>7</xdr:col>
                    <xdr:colOff>9525</xdr:colOff>
                    <xdr:row>134</xdr:row>
                    <xdr:rowOff>38100</xdr:rowOff>
                  </from>
                  <to>
                    <xdr:col>8</xdr:col>
                    <xdr:colOff>95250</xdr:colOff>
                    <xdr:row>134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5" name="Check Box 337">
              <controlPr defaultSize="0" autoFill="0" autoLine="0" autoPict="0">
                <anchor moveWithCells="1">
                  <from>
                    <xdr:col>17</xdr:col>
                    <xdr:colOff>57150</xdr:colOff>
                    <xdr:row>134</xdr:row>
                    <xdr:rowOff>38100</xdr:rowOff>
                  </from>
                  <to>
                    <xdr:col>18</xdr:col>
                    <xdr:colOff>104775</xdr:colOff>
                    <xdr:row>134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6" name="Check Box 338">
              <controlPr defaultSize="0" autoFill="0" autoLine="0" autoPict="0">
                <anchor moveWithCells="1">
                  <from>
                    <xdr:col>27</xdr:col>
                    <xdr:colOff>104775</xdr:colOff>
                    <xdr:row>134</xdr:row>
                    <xdr:rowOff>38100</xdr:rowOff>
                  </from>
                  <to>
                    <xdr:col>29</xdr:col>
                    <xdr:colOff>95250</xdr:colOff>
                    <xdr:row>134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7" name="Check Box 339">
              <controlPr defaultSize="0" autoFill="0" autoLine="0" autoPict="0">
                <anchor moveWithCells="1">
                  <from>
                    <xdr:col>38</xdr:col>
                    <xdr:colOff>95250</xdr:colOff>
                    <xdr:row>134</xdr:row>
                    <xdr:rowOff>66675</xdr:rowOff>
                  </from>
                  <to>
                    <xdr:col>40</xdr:col>
                    <xdr:colOff>57150</xdr:colOff>
                    <xdr:row>135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8" name="Check Box 340">
              <controlPr defaultSize="0" autoFill="0" autoLine="0" autoPict="0">
                <anchor moveWithCells="1">
                  <from>
                    <xdr:col>0</xdr:col>
                    <xdr:colOff>57150</xdr:colOff>
                    <xdr:row>0</xdr:row>
                    <xdr:rowOff>9525</xdr:rowOff>
                  </from>
                  <to>
                    <xdr:col>1</xdr:col>
                    <xdr:colOff>123825</xdr:colOff>
                    <xdr:row>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9" name="Check Box 341">
              <controlPr defaultSize="0" autoFill="0" autoLine="0" autoPict="0">
                <anchor moveWithCells="1">
                  <from>
                    <xdr:col>0</xdr:col>
                    <xdr:colOff>57150</xdr:colOff>
                    <xdr:row>0</xdr:row>
                    <xdr:rowOff>152400</xdr:rowOff>
                  </from>
                  <to>
                    <xdr:col>1</xdr:col>
                    <xdr:colOff>123825</xdr:colOff>
                    <xdr:row>1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7</vt:i4>
      </vt:variant>
    </vt:vector>
  </HeadingPairs>
  <TitlesOfParts>
    <vt:vector size="9" baseType="lpstr">
      <vt:lpstr>Input</vt:lpstr>
      <vt:lpstr>WHT_From</vt:lpstr>
      <vt:lpstr>Doc_No</vt:lpstr>
      <vt:lpstr>Inp_Clear1</vt:lpstr>
      <vt:lpstr>Inp_Clear2</vt:lpstr>
      <vt:lpstr>Inp_Source</vt:lpstr>
      <vt:lpstr>WHT_From!Print_Area</vt:lpstr>
      <vt:lpstr>Select_Month</vt:lpstr>
      <vt:lpstr>Select_Year</vt:lpstr>
    </vt:vector>
  </TitlesOfParts>
  <Manager>สำเริง ยิ่งถาวรสุข</Manager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หนังสือรับรองการหักภาษี ณ ที่จ่าย</dc:title>
  <dc:creator>USER;สำเริง ยิ่งถาวรสุข</dc:creator>
  <cp:keywords>50ทวิ, ภาษี, หัก ณ ที่จ่าย, WHT</cp:keywords>
  <dc:description>ปรับปรุงใหม่ตามระเบียบกรมสรรพากร พ.ศ.2555 เรื่องการเปลี่ยนรูปแบบเลขประจำตัวผู้เสียภาษีเป็น 13 หลัก</dc:description>
  <cp:lastModifiedBy>บะบิ้ว 5 มีอยู่จริง</cp:lastModifiedBy>
  <cp:lastPrinted>2026-02-23T12:26:08Z</cp:lastPrinted>
  <dcterms:created xsi:type="dcterms:W3CDTF">2001-09-19T06:36:34Z</dcterms:created>
  <dcterms:modified xsi:type="dcterms:W3CDTF">2026-02-23T12:26:08Z</dcterms:modified>
  <cp:category>แบบฟอร์มทางราชการ</cp:category>
</cp:coreProperties>
</file>