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695" documentId="8_{E62BB257-A0A0-4383-8146-1EEB7D39A510}" xr6:coauthVersionLast="47" xr6:coauthVersionMax="47" xr10:uidLastSave="{F0A7EAAA-81B7-4C31-8AFF-00C179B0292E}"/>
  <bookViews>
    <workbookView xWindow="28680" yWindow="-93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<sst xmlns="http://schemas.openxmlformats.org/spreadsheetml/2006/main" count="242" uniqueCount="134">
  <si>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</si>
  <si>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</si>
  <si>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</si>
  <si>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</si>
  <si>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</si>
  <si>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</si>
  <si>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</si>
  <si>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</si>
  <si>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</si>
  <si>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</si>
  <si>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</si>
  <si>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</si>
  <si>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</si>
  <si>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</si>
  <si>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</si>
  <si>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</si>
  <si>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</si>
  <si>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</si>
  <si>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</si>
  <si>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</si>
  <si>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</si>
  <si>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</si>
  <si>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</si>
  <si>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</si>
  <si>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</si>
  <si>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</si>
  <si>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</si>
  <si>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</si>
  <si>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</si>
  <si>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</si>
  <si>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</si>
  <si>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</si>
  <si>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</si>
  <si>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</si>
  <si>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</si>
  <si>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</si>
  <si>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</si>
  <si>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</si>
  <si>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</si>
  <si>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</si>
  <si>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</si>
  <si>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</si>
  <si>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</si>
  <si>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</si>
  <si>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</si>
  <si>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</si>
  <si>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</si>
  <si>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</si>
  <si>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</si>
  <si>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</si>
  <si>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</si>
  <si>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</si>
  <si>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</si>
  <si>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</si>
  <si>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</si>
  <si>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</si>
  <si>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</si>
  <si>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</si>
  <si>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</si>
  <si>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</si>
  <si>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</si>
  <si>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</si>
  <si>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</si>
  <si>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</si>
  <si>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</si>
  <si>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</si>
  <si>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</si>
  <si>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</si>
  <si>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</si>
  <si>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</si>
  <si>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</si>
  <si>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</si>
  <si>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</si>
  <si>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</si>
  <si>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</si>
  <si>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</si>
  <si>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</si>
  <si>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</si>
  <si>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</si>
  <si>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</si>
  <si>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</si>
  <si>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</si>
  <si>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</si>
  <si>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</si>
  <si>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</si>
  <si>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</si>
  <si>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</si>
  <si>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</si>
  <si>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</si>
  <si>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</si>
  <si>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</si>
  <si>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</si>
  <si>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</si>
  <si>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</si>
  <si>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</si>
  <si>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</si>
  <si>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</si>
  <si>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</si>
  <si>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</si>
  <si>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</si>
  <si>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</si>
  <si>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</si>
  <si>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</si>
  <si>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</si>
  <si>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</si>
  <si>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</si>
  <si>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</si>
  <si>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</si>
  <si>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</si>
  <si>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</si>
  <si>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</si>
  <si>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</si>
  <si>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</si>
  <si>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</si>
  <si>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</si>
  <si>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</si>
  <si>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</si>
  <si>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</si>
  <si>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</si>
  <si>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</si>
  <si>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</si>
  <si>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</si>
  <si>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</si>
  <si>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</si>
  <si>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</si>
  <si>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</si>
  <si>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</si>
  <si>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</si>
  <si>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บริษัท ไอสาม เกทเวย์ จำกัด รายเดือน</t>
  </si>
  <si>
    <t>อาคาร ไอทีเอฟ-ทาวเวอร์ ชั้นที่ 25 เลขที่ 140/61 ถนน สีลม ตำบล/แขวง สุริยวงศ์ อำเภอ/เขต บางรัก จังหวัด กรุงเทพมหานคร 10500</t>
  </si>
  <si>
    <t>31/12/2025</t>
  </si>
  <si>
    <t>คุณ ณจิตตา วัฒนาภรณ์</t>
  </si>
  <si>
    <t>400 ซ.บางบอน 5 ซอย 12 แขวงบางบอนเหนือ เขตบางบอน กรุงเทพมหานคร</t>
  </si>
  <si>
    <t>หนึ่งหมื่นสองพันห้าร้อยหกสิบเจ็ดบาทสามสิบสามสตางค์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</si>
</sst>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06" t="s">
        <v>23</v>
      </c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6"/>
      <c r="AH4" s="306"/>
      <c r="AI4" s="306"/>
      <c r="AJ4" s="306"/>
      <c r="AK4" s="306"/>
      <c r="AL4" s="306"/>
      <c r="AM4" s="306"/>
      <c r="AN4" s="306"/>
      <c r="AO4" s="306"/>
      <c r="AP4" s="306"/>
      <c r="AQ4" s="306"/>
      <c r="AR4" s="306"/>
      <c r="AS4" s="306"/>
      <c r="AT4" s="306"/>
      <c r="AU4" s="306"/>
      <c r="AV4" s="306"/>
      <c r="AW4" s="306"/>
      <c r="AX4" s="306"/>
      <c r="AY4" s="306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49" t="s">
        <v>57</v>
      </c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1</v>
      </c>
      <c r="AH8" s="214"/>
      <c r="AI8" s="214">
        <v>0</v>
      </c>
      <c r="AJ8" s="214"/>
      <c r="AK8" s="214">
        <v>5</v>
      </c>
      <c r="AL8" s="214"/>
      <c r="AM8" s="214">
        <v>5</v>
      </c>
      <c r="AN8" s="219"/>
      <c r="AO8" s="166"/>
      <c r="AP8" s="213">
        <v>5</v>
      </c>
      <c r="AQ8" s="214"/>
      <c r="AR8" s="214">
        <v>3</v>
      </c>
      <c r="AS8" s="214"/>
      <c r="AT8" s="214">
        <v>1</v>
      </c>
      <c r="AU8" s="214"/>
      <c r="AV8" s="214">
        <v>1</v>
      </c>
      <c r="AW8" s="214"/>
      <c r="AX8" s="214">
        <v>4</v>
      </c>
      <c r="AY8" s="219"/>
      <c r="AZ8" s="166"/>
      <c r="BA8" s="213">
        <v>4</v>
      </c>
      <c r="BB8" s="214"/>
      <c r="BC8" s="214">
        <v>3</v>
      </c>
      <c r="BD8" s="219"/>
      <c r="BE8" s="166"/>
      <c r="BF8" s="216">
        <v>7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5" t="s">
        <v>128</v>
      </c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3" t="s">
        <v>129</v>
      </c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1</v>
      </c>
      <c r="AE16" s="217"/>
      <c r="AF16" s="166"/>
      <c r="AG16" s="213">
        <v>1</v>
      </c>
      <c r="AH16" s="214"/>
      <c r="AI16" s="214">
        <v>0</v>
      </c>
      <c r="AJ16" s="214"/>
      <c r="AK16" s="214">
        <v>2</v>
      </c>
      <c r="AL16" s="214"/>
      <c r="AM16" s="214">
        <v>0</v>
      </c>
      <c r="AN16" s="219"/>
      <c r="AO16" s="166"/>
      <c r="AP16" s="213">
        <v>0</v>
      </c>
      <c r="AQ16" s="214"/>
      <c r="AR16" s="214">
        <v>3</v>
      </c>
      <c r="AS16" s="214"/>
      <c r="AT16" s="214">
        <v>0</v>
      </c>
      <c r="AU16" s="214"/>
      <c r="AV16" s="214">
        <v>8</v>
      </c>
      <c r="AW16" s="214"/>
      <c r="AX16" s="214">
        <v>0</v>
      </c>
      <c r="AY16" s="219"/>
      <c r="AZ16" s="166"/>
      <c r="BA16" s="213">
        <v>9</v>
      </c>
      <c r="BB16" s="214"/>
      <c r="BC16" s="214">
        <v>9</v>
      </c>
      <c r="BD16" s="219"/>
      <c r="BE16" s="166"/>
      <c r="BF16" s="216">
        <v>3</v>
      </c>
      <c r="BG16" s="217"/>
      <c r="BH16" s="102"/>
      <c r="BI16" s="102"/>
      <c r="BL16" s="236" t="str">
        <f>IF(Doc_No="","",INDEX(#REF!,MATCH(D18,#REF!,0)))</f>
        <v/>
      </c>
      <c r="BM16" s="236"/>
      <c r="BN16" s="236"/>
      <c r="BO16" s="236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4" t="s">
        <v>131</v>
      </c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2" t="s">
        <v>132</v>
      </c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2"/>
      <c r="H23" s="312"/>
      <c r="I23" s="312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48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50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05" t="s">
        <v>29</v>
      </c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6"/>
      <c r="O28" s="306"/>
      <c r="P28" s="306"/>
      <c r="Q28" s="306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7"/>
      <c r="AK28" s="310" t="s">
        <v>10</v>
      </c>
      <c r="AL28" s="306"/>
      <c r="AM28" s="306"/>
      <c r="AN28" s="306"/>
      <c r="AO28" s="306"/>
      <c r="AP28" s="306"/>
      <c r="AQ28" s="306"/>
      <c r="AR28" s="307"/>
      <c r="AS28" s="310" t="s">
        <v>9</v>
      </c>
      <c r="AT28" s="306"/>
      <c r="AU28" s="306"/>
      <c r="AV28" s="306"/>
      <c r="AW28" s="306"/>
      <c r="AX28" s="306"/>
      <c r="AY28" s="306"/>
      <c r="AZ28" s="307"/>
      <c r="BA28" s="310" t="s">
        <v>7</v>
      </c>
      <c r="BB28" s="306"/>
      <c r="BC28" s="306"/>
      <c r="BD28" s="306"/>
      <c r="BE28" s="306"/>
      <c r="BF28" s="306"/>
      <c r="BG28" s="306"/>
      <c r="BH28" s="311"/>
      <c r="BI28" s="102"/>
    </row>
    <row r="29" spans="1:70" ht="18" customHeight="1" thickBot="1" x14ac:dyDescent="0.55000000000000004">
      <c r="A29" s="98"/>
      <c r="B29" s="308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09"/>
      <c r="AK29" s="202" t="s">
        <v>11</v>
      </c>
      <c r="AL29" s="203"/>
      <c r="AM29" s="203"/>
      <c r="AN29" s="203"/>
      <c r="AO29" s="203"/>
      <c r="AP29" s="203"/>
      <c r="AQ29" s="203"/>
      <c r="AR29" s="309"/>
      <c r="AS29" s="202"/>
      <c r="AT29" s="203"/>
      <c r="AU29" s="203"/>
      <c r="AV29" s="203"/>
      <c r="AW29" s="203"/>
      <c r="AX29" s="203"/>
      <c r="AY29" s="203"/>
      <c r="AZ29" s="309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2" t="s">
        <v>12</v>
      </c>
      <c r="C30" s="243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99" t="s">
        <v>130</v>
      </c>
      <c r="AL30" s="300"/>
      <c r="AM30" s="300"/>
      <c r="AN30" s="300"/>
      <c r="AO30" s="300"/>
      <c r="AP30" s="300"/>
      <c r="AQ30" s="300"/>
      <c r="AR30" s="301"/>
      <c r="AS30" s="326">
        <v>488100</v>
      </c>
      <c r="AT30" s="327"/>
      <c r="AU30" s="327"/>
      <c r="AV30" s="327"/>
      <c r="AW30" s="327"/>
      <c r="AX30" s="327"/>
      <c r="AY30" s="327"/>
      <c r="AZ30" s="328"/>
      <c r="BA30" s="336">
        <v>12567.33</v>
      </c>
      <c r="BB30" s="337"/>
      <c r="BC30" s="337"/>
      <c r="BD30" s="337"/>
      <c r="BE30" s="337"/>
      <c r="BF30" s="337"/>
      <c r="BG30" s="337"/>
      <c r="BH30" s="338"/>
      <c r="BI30" s="102"/>
    </row>
    <row r="31" spans="1:70" ht="15.95" customHeight="1" x14ac:dyDescent="0.5">
      <c r="A31" s="98"/>
      <c r="B31" s="242" t="s">
        <v>13</v>
      </c>
      <c r="C31" s="243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/>
      <c r="AL31" s="200"/>
      <c r="AM31" s="200"/>
      <c r="AN31" s="200"/>
      <c r="AO31" s="200"/>
      <c r="AP31" s="200"/>
      <c r="AQ31" s="200"/>
      <c r="AR31" s="201"/>
      <c r="AS31" s="180"/>
      <c r="AT31" s="181"/>
      <c r="AU31" s="181"/>
      <c r="AV31" s="181"/>
      <c r="AW31" s="181"/>
      <c r="AX31" s="181"/>
      <c r="AY31" s="181"/>
      <c r="AZ31" s="182"/>
      <c r="BA31" s="170"/>
      <c r="BB31" s="171"/>
      <c r="BC31" s="172"/>
      <c r="BD31" s="172"/>
      <c r="BE31" s="172"/>
      <c r="BF31" s="172"/>
      <c r="BG31" s="172"/>
      <c r="BH31" s="173"/>
      <c r="BI31" s="102"/>
    </row>
    <row r="32" spans="1:70" ht="15.95" customHeight="1" x14ac:dyDescent="0.5">
      <c r="A32" s="98"/>
      <c r="B32" s="242" t="s">
        <v>14</v>
      </c>
      <c r="C32" s="243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2" t="s">
        <v>15</v>
      </c>
      <c r="C33" s="243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2"/>
      <c r="C34" s="243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3"/>
      <c r="AL34" s="324"/>
      <c r="AM34" s="324"/>
      <c r="AN34" s="324"/>
      <c r="AO34" s="324"/>
      <c r="AP34" s="324"/>
      <c r="AQ34" s="324"/>
      <c r="AR34" s="325"/>
      <c r="AS34" s="313"/>
      <c r="AT34" s="314"/>
      <c r="AU34" s="314"/>
      <c r="AV34" s="314"/>
      <c r="AW34" s="314"/>
      <c r="AX34" s="314"/>
      <c r="AY34" s="314"/>
      <c r="AZ34" s="315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19"/>
      <c r="AL35" s="320"/>
      <c r="AM35" s="320"/>
      <c r="AN35" s="320"/>
      <c r="AO35" s="320"/>
      <c r="AP35" s="320"/>
      <c r="AQ35" s="320"/>
      <c r="AR35" s="321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19"/>
      <c r="AL36" s="320"/>
      <c r="AM36" s="320"/>
      <c r="AN36" s="320"/>
      <c r="AO36" s="320"/>
      <c r="AP36" s="320"/>
      <c r="AQ36" s="320"/>
      <c r="AR36" s="321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1"/>
      <c r="AL37" s="332"/>
      <c r="AM37" s="332"/>
      <c r="AN37" s="332"/>
      <c r="AO37" s="332"/>
      <c r="AP37" s="332"/>
      <c r="AQ37" s="332"/>
      <c r="AR37" s="333"/>
      <c r="AS37" s="316"/>
      <c r="AT37" s="317"/>
      <c r="AU37" s="317"/>
      <c r="AV37" s="317"/>
      <c r="AW37" s="317"/>
      <c r="AX37" s="317"/>
      <c r="AY37" s="317"/>
      <c r="AZ37" s="318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3"/>
      <c r="AL41" s="324"/>
      <c r="AM41" s="324"/>
      <c r="AN41" s="324"/>
      <c r="AO41" s="324"/>
      <c r="AP41" s="324"/>
      <c r="AQ41" s="324"/>
      <c r="AR41" s="325"/>
      <c r="AS41" s="313"/>
      <c r="AT41" s="314"/>
      <c r="AU41" s="314"/>
      <c r="AV41" s="314"/>
      <c r="AW41" s="314"/>
      <c r="AX41" s="314"/>
      <c r="AY41" s="314"/>
      <c r="AZ41" s="315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1"/>
      <c r="AL42" s="332"/>
      <c r="AM42" s="332"/>
      <c r="AN42" s="332"/>
      <c r="AO42" s="332"/>
      <c r="AP42" s="332"/>
      <c r="AQ42" s="332"/>
      <c r="AR42" s="333"/>
      <c r="AS42" s="316"/>
      <c r="AT42" s="317"/>
      <c r="AU42" s="317"/>
      <c r="AV42" s="317"/>
      <c r="AW42" s="317"/>
      <c r="AX42" s="317"/>
      <c r="AY42" s="317"/>
      <c r="AZ42" s="318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3"/>
      <c r="AL43" s="324"/>
      <c r="AM43" s="324"/>
      <c r="AN43" s="324"/>
      <c r="AO43" s="324"/>
      <c r="AP43" s="324"/>
      <c r="AQ43" s="324"/>
      <c r="AR43" s="325"/>
      <c r="AS43" s="313"/>
      <c r="AT43" s="314"/>
      <c r="AU43" s="314"/>
      <c r="AV43" s="314"/>
      <c r="AW43" s="314"/>
      <c r="AX43" s="314"/>
      <c r="AY43" s="314"/>
      <c r="AZ43" s="315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1"/>
      <c r="AL44" s="332"/>
      <c r="AM44" s="332"/>
      <c r="AN44" s="332"/>
      <c r="AO44" s="332"/>
      <c r="AP44" s="332"/>
      <c r="AQ44" s="332"/>
      <c r="AR44" s="333"/>
      <c r="AS44" s="316"/>
      <c r="AT44" s="317"/>
      <c r="AU44" s="317"/>
      <c r="AV44" s="317"/>
      <c r="AW44" s="317"/>
      <c r="AX44" s="317"/>
      <c r="AY44" s="317"/>
      <c r="AZ44" s="318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3"/>
      <c r="AL45" s="324"/>
      <c r="AM45" s="324"/>
      <c r="AN45" s="324"/>
      <c r="AO45" s="324"/>
      <c r="AP45" s="324"/>
      <c r="AQ45" s="324"/>
      <c r="AR45" s="325"/>
      <c r="AS45" s="313"/>
      <c r="AT45" s="314"/>
      <c r="AU45" s="314"/>
      <c r="AV45" s="314"/>
      <c r="AW45" s="314"/>
      <c r="AX45" s="314"/>
      <c r="AY45" s="314"/>
      <c r="AZ45" s="315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2" t="s">
        <v>16</v>
      </c>
      <c r="C48" s="243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2"/>
      <c r="C49" s="243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2"/>
      <c r="C50" s="243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2"/>
      <c r="C51" s="243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2">
        <v>6</v>
      </c>
      <c r="C52" s="273"/>
      <c r="D52" s="93" t="s">
        <v>125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K52" s="331"/>
      <c r="AL52" s="332"/>
      <c r="AM52" s="332"/>
      <c r="AN52" s="332"/>
      <c r="AO52" s="332"/>
      <c r="AP52" s="332"/>
      <c r="AQ52" s="332"/>
      <c r="AR52" s="333"/>
      <c r="AS52" s="329"/>
      <c r="AT52" s="329"/>
      <c r="AU52" s="329"/>
      <c r="AV52" s="329"/>
      <c r="AW52" s="329"/>
      <c r="AX52" s="329"/>
      <c r="AY52" s="329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2"/>
      <c r="C53" s="25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58"/>
      <c r="AT53" s="247"/>
      <c r="AU53" s="247"/>
      <c r="AV53" s="247"/>
      <c r="AW53" s="247"/>
      <c r="AX53" s="247"/>
      <c r="AY53" s="247"/>
      <c r="AZ53" s="268"/>
      <c r="BA53" s="258"/>
      <c r="BB53" s="247"/>
      <c r="BC53" s="247"/>
      <c r="BD53" s="247"/>
      <c r="BE53" s="247"/>
      <c r="BF53" s="247"/>
      <c r="BG53" s="247"/>
      <c r="BH53" s="259"/>
      <c r="BI53" s="102"/>
    </row>
    <row r="54" spans="1:67" ht="18" customHeight="1" thickBot="1" x14ac:dyDescent="0.55000000000000004">
      <c r="A54" s="98"/>
      <c r="B54" s="248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9"/>
      <c r="X54" s="249"/>
      <c r="Y54" s="249"/>
      <c r="Z54" s="249"/>
      <c r="AQ54" s="134" t="s">
        <v>20</v>
      </c>
      <c r="AR54" s="135"/>
      <c r="AS54" s="188">
        <v>488100</v>
      </c>
      <c r="AT54" s="189"/>
      <c r="AU54" s="189"/>
      <c r="AV54" s="189"/>
      <c r="AW54" s="189"/>
      <c r="AX54" s="189"/>
      <c r="AY54" s="189"/>
      <c r="AZ54" s="251"/>
      <c r="BA54" s="188">
        <v>12567.33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48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50"/>
      <c r="BI55" s="102"/>
    </row>
    <row r="56" spans="1:67" ht="18" customHeight="1" x14ac:dyDescent="0.5">
      <c r="A56" s="98"/>
      <c r="B56" s="136" t="s">
        <v>37</v>
      </c>
      <c r="P56" s="261" t="s">
        <v>133</v>
      </c>
      <c r="Q56" s="262"/>
      <c r="R56" s="262"/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2"/>
      <c r="AW56" s="262"/>
      <c r="AX56" s="262"/>
      <c r="AY56" s="262"/>
      <c r="AZ56" s="262"/>
      <c r="BA56" s="262"/>
      <c r="BB56" s="262"/>
      <c r="BC56" s="262"/>
      <c r="BD56" s="262"/>
      <c r="BE56" s="262"/>
      <c r="BF56" s="262"/>
      <c r="BG56" s="263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30">
        <v>9000</v>
      </c>
      <c r="AN58" s="330"/>
      <c r="AO58" s="330"/>
      <c r="AP58" s="330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2"/>
      <c r="C59" s="25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9"/>
      <c r="AM59" s="269"/>
      <c r="AN59" s="269"/>
      <c r="AO59" s="269"/>
      <c r="AP59" s="269"/>
      <c r="AQ59" s="269"/>
      <c r="AR59" s="269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47"/>
      <c r="BE59" s="247"/>
      <c r="BF59" s="247"/>
      <c r="BG59" s="247"/>
      <c r="BH59" s="259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2"/>
      <c r="C62" s="25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9"/>
      <c r="AM62" s="269"/>
      <c r="AN62" s="269"/>
      <c r="AO62" s="269"/>
      <c r="AP62" s="269"/>
      <c r="AQ62" s="269"/>
      <c r="AR62" s="269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47"/>
      <c r="BE62" s="247"/>
      <c r="BF62" s="247"/>
      <c r="BG62" s="247"/>
      <c r="BH62" s="259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41"/>
      <c r="AV65" s="241"/>
      <c r="AW65" s="99" t="s">
        <v>21</v>
      </c>
      <c r="BH65" s="102"/>
      <c r="BI65" s="102"/>
    </row>
    <row r="66" spans="1:61" ht="15.95" customHeight="1" x14ac:dyDescent="0.5">
      <c r="A66" s="98"/>
      <c r="B66" s="239"/>
      <c r="C66" s="240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41"/>
      <c r="AV66" s="241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38" t="s">
        <v>130</v>
      </c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39"/>
      <c r="C68" s="240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35" t="s">
        <v>54</v>
      </c>
      <c r="AJ68" s="335"/>
      <c r="AK68" s="335"/>
      <c r="AL68" s="335"/>
      <c r="AM68" s="335"/>
      <c r="AN68" s="335"/>
      <c r="AO68" s="335"/>
      <c r="AP68" s="335"/>
      <c r="AQ68" s="335"/>
      <c r="AR68" s="335"/>
      <c r="AS68" s="33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06" t="s">
        <v>23</v>
      </c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6"/>
      <c r="AA78" s="306"/>
      <c r="AB78" s="306"/>
      <c r="AC78" s="306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49" t="s">
        <v>57</v>
      </c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99" t="s">
        <v>2</v>
      </c>
      <c r="BC79" s="322">
        <f>BC5</f>
        <v>0</v>
      </c>
      <c r="BD79" s="322"/>
      <c r="BE79" s="322"/>
      <c r="BF79" s="322"/>
      <c r="BG79" s="322"/>
      <c r="BH79" s="322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1</v>
      </c>
      <c r="AH82" s="214"/>
      <c r="AI82" s="214">
        <f>AI8</f>
        <v>0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5</v>
      </c>
      <c r="AQ82" s="214"/>
      <c r="AR82" s="214">
        <f>AR8</f>
        <v>3</v>
      </c>
      <c r="AS82" s="214"/>
      <c r="AT82" s="214">
        <f>AT8</f>
        <v>1</v>
      </c>
      <c r="AU82" s="214"/>
      <c r="AV82" s="214">
        <f>AV8</f>
        <v>1</v>
      </c>
      <c r="AW82" s="214"/>
      <c r="AX82" s="214">
        <f>AX8</f>
        <v>4</v>
      </c>
      <c r="AY82" s="219"/>
      <c r="AZ82" s="166"/>
      <c r="BA82" s="213">
        <f>BA8</f>
        <v>4</v>
      </c>
      <c r="BB82" s="214"/>
      <c r="BC82" s="214">
        <f>BC8</f>
        <v>3</v>
      </c>
      <c r="BD82" s="219"/>
      <c r="BE82" s="166"/>
      <c r="BF82" s="216">
        <f>BF8</f>
        <v>7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5" t="str">
        <f>D10</f>
        <v>บริษัท ไอสาม เกทเวย์ จำกัด รายเดือน</v>
      </c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3" t="str">
        <f>D12</f>
        <v>อาคาร ไอทีเอฟ-ทาวเวอร์ ชั้นที่ 25 เลขที่ 140/61 ถนน สีลม ตำบล/แขวง สุริยวงศ์ อำเภอ/เขต บางรัก จังหวัด กรุงเทพมหานคร 10500</v>
      </c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1</v>
      </c>
      <c r="AE90" s="217"/>
      <c r="AF90" s="166"/>
      <c r="AG90" s="213">
        <f>AG16</f>
        <v>1</v>
      </c>
      <c r="AH90" s="214"/>
      <c r="AI90" s="214">
        <f>AI16</f>
        <v>0</v>
      </c>
      <c r="AJ90" s="214"/>
      <c r="AK90" s="214">
        <f>AK16</f>
        <v>2</v>
      </c>
      <c r="AL90" s="214"/>
      <c r="AM90" s="214">
        <f>AM16</f>
        <v>0</v>
      </c>
      <c r="AN90" s="219"/>
      <c r="AO90" s="166"/>
      <c r="AP90" s="213">
        <f>AP16</f>
        <v>0</v>
      </c>
      <c r="AQ90" s="214"/>
      <c r="AR90" s="214">
        <f>AR16</f>
        <v>3</v>
      </c>
      <c r="AS90" s="214"/>
      <c r="AT90" s="214">
        <f>AT16</f>
        <v>0</v>
      </c>
      <c r="AU90" s="214"/>
      <c r="AV90" s="214">
        <f>AV16</f>
        <v>8</v>
      </c>
      <c r="AW90" s="214"/>
      <c r="AX90" s="214">
        <f>AX16</f>
        <v>0</v>
      </c>
      <c r="AY90" s="219"/>
      <c r="AZ90" s="166"/>
      <c r="BA90" s="213">
        <f>BA16</f>
        <v>9</v>
      </c>
      <c r="BB90" s="214"/>
      <c r="BC90" s="214">
        <f>BC16</f>
        <v>9</v>
      </c>
      <c r="BD90" s="219"/>
      <c r="BE90" s="166"/>
      <c r="BF90" s="216">
        <f>BF16</f>
        <v>3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4" t="str">
        <f>D18</f>
        <v>คุณ ณจิตตา วัฒนาภรณ์</v>
      </c>
      <c r="E92" s="234"/>
      <c r="F92" s="234"/>
      <c r="G92" s="234"/>
      <c r="H92" s="234"/>
      <c r="I92" s="234"/>
      <c r="J92" s="234"/>
      <c r="K92" s="234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3" t="str">
        <f>D20</f>
        <v>400 ซ.บางบอน 5 ซอย 12 แขวงบางบอนเหนือ เขตบางบอน กรุงเทพมหานคร</v>
      </c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2"/>
      <c r="H97" s="312"/>
      <c r="I97" s="312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48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  <c r="BD98" s="249"/>
      <c r="BE98" s="249"/>
      <c r="BF98" s="249"/>
      <c r="BG98" s="249"/>
      <c r="BH98" s="250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05" t="s">
        <v>29</v>
      </c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6"/>
      <c r="AA102" s="306"/>
      <c r="AB102" s="306"/>
      <c r="AC102" s="306"/>
      <c r="AD102" s="306"/>
      <c r="AE102" s="306"/>
      <c r="AF102" s="306"/>
      <c r="AG102" s="306"/>
      <c r="AH102" s="306"/>
      <c r="AI102" s="306"/>
      <c r="AJ102" s="307"/>
      <c r="AK102" s="310" t="s">
        <v>10</v>
      </c>
      <c r="AL102" s="306"/>
      <c r="AM102" s="306"/>
      <c r="AN102" s="306"/>
      <c r="AO102" s="306"/>
      <c r="AP102" s="306"/>
      <c r="AQ102" s="306"/>
      <c r="AR102" s="307"/>
      <c r="AS102" s="310" t="s">
        <v>9</v>
      </c>
      <c r="AT102" s="306"/>
      <c r="AU102" s="306"/>
      <c r="AV102" s="306"/>
      <c r="AW102" s="306"/>
      <c r="AX102" s="306"/>
      <c r="AY102" s="306"/>
      <c r="AZ102" s="307"/>
      <c r="BA102" s="310" t="s">
        <v>7</v>
      </c>
      <c r="BB102" s="306"/>
      <c r="BC102" s="306"/>
      <c r="BD102" s="306"/>
      <c r="BE102" s="306"/>
      <c r="BF102" s="306"/>
      <c r="BG102" s="306"/>
      <c r="BH102" s="311"/>
      <c r="BI102" s="102"/>
    </row>
    <row r="103" spans="1:61" ht="18" customHeight="1" thickBot="1" x14ac:dyDescent="0.55000000000000004">
      <c r="A103" s="98"/>
      <c r="B103" s="308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09"/>
      <c r="AK103" s="202" t="s">
        <v>11</v>
      </c>
      <c r="AL103" s="203"/>
      <c r="AM103" s="203"/>
      <c r="AN103" s="203"/>
      <c r="AO103" s="203"/>
      <c r="AP103" s="203"/>
      <c r="AQ103" s="203"/>
      <c r="AR103" s="309"/>
      <c r="AS103" s="202"/>
      <c r="AT103" s="203"/>
      <c r="AU103" s="203"/>
      <c r="AV103" s="203"/>
      <c r="AW103" s="203"/>
      <c r="AX103" s="203"/>
      <c r="AY103" s="203"/>
      <c r="AZ103" s="309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2" t="s">
        <v>12</v>
      </c>
      <c r="C104" s="243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99" t="str">
        <f>IF(AK30="","",AK30)</f>
        <v>31/12/2025</v>
      </c>
      <c r="AL104" s="300"/>
      <c r="AM104" s="300"/>
      <c r="AN104" s="300"/>
      <c r="AO104" s="300"/>
      <c r="AP104" s="300"/>
      <c r="AQ104" s="300"/>
      <c r="AR104" s="301"/>
      <c r="AS104" s="302">
        <f>IF(AS30="","",AS30)</f>
        <v>488100</v>
      </c>
      <c r="AT104" s="303"/>
      <c r="AU104" s="303"/>
      <c r="AV104" s="303"/>
      <c r="AW104" s="303"/>
      <c r="AX104" s="303"/>
      <c r="AY104" s="303"/>
      <c r="AZ104" s="304"/>
      <c r="BA104" s="296">
        <f>+BA30</f>
        <v>12567.33</v>
      </c>
      <c r="BB104" s="297"/>
      <c r="BC104" s="297"/>
      <c r="BD104" s="297"/>
      <c r="BE104" s="297"/>
      <c r="BF104" s="297"/>
      <c r="BG104" s="297"/>
      <c r="BH104" s="298"/>
      <c r="BI104" s="102"/>
    </row>
    <row r="105" spans="1:61" ht="15.95" customHeight="1" x14ac:dyDescent="0.5">
      <c r="A105" s="98"/>
      <c r="B105" s="242" t="s">
        <v>13</v>
      </c>
      <c r="C105" s="243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4" t="str">
        <f>IF(AK31="","",AK31)</f>
        <v/>
      </c>
      <c r="AL105" s="245"/>
      <c r="AM105" s="245"/>
      <c r="AN105" s="245"/>
      <c r="AO105" s="245"/>
      <c r="AP105" s="245"/>
      <c r="AQ105" s="245"/>
      <c r="AR105" s="246"/>
      <c r="AS105" s="264" t="str">
        <f>IF(AS31="","",AS31)</f>
        <v/>
      </c>
      <c r="AT105" s="265"/>
      <c r="AU105" s="265"/>
      <c r="AV105" s="265"/>
      <c r="AW105" s="265"/>
      <c r="AX105" s="265"/>
      <c r="AY105" s="265"/>
      <c r="AZ105" s="276"/>
      <c r="BA105" s="193" t="str">
        <f>IF(BA31="","",BA31)</f>
        <v/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2" t="s">
        <v>14</v>
      </c>
      <c r="C106" s="243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4">
        <f>AK32</f>
        <v>0</v>
      </c>
      <c r="AL106" s="245"/>
      <c r="AM106" s="245"/>
      <c r="AN106" s="245"/>
      <c r="AO106" s="245"/>
      <c r="AP106" s="245"/>
      <c r="AQ106" s="245"/>
      <c r="AR106" s="246"/>
      <c r="AS106" s="264">
        <f>AS32</f>
        <v>0</v>
      </c>
      <c r="AT106" s="265"/>
      <c r="AU106" s="265"/>
      <c r="AV106" s="265"/>
      <c r="AW106" s="265"/>
      <c r="AX106" s="265"/>
      <c r="AY106" s="265"/>
      <c r="AZ106" s="276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2" t="s">
        <v>15</v>
      </c>
      <c r="C107" s="243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4" t="str">
        <f>IF(AK33="","",AK33)</f>
        <v/>
      </c>
      <c r="AL107" s="245"/>
      <c r="AM107" s="245"/>
      <c r="AN107" s="245"/>
      <c r="AO107" s="245"/>
      <c r="AP107" s="245"/>
      <c r="AQ107" s="245"/>
      <c r="AR107" s="246"/>
      <c r="AS107" s="264" t="str">
        <f>IF(AS33="","",AS33)</f>
        <v/>
      </c>
      <c r="AT107" s="265"/>
      <c r="AU107" s="265"/>
      <c r="AV107" s="265"/>
      <c r="AW107" s="265"/>
      <c r="AX107" s="265"/>
      <c r="AY107" s="265"/>
      <c r="AZ107" s="276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2"/>
      <c r="C108" s="243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0"/>
      <c r="AL108" s="281"/>
      <c r="AM108" s="281"/>
      <c r="AN108" s="281"/>
      <c r="AO108" s="281"/>
      <c r="AP108" s="281"/>
      <c r="AQ108" s="281"/>
      <c r="AR108" s="282"/>
      <c r="AS108" s="277"/>
      <c r="AT108" s="278"/>
      <c r="AU108" s="278"/>
      <c r="AV108" s="278"/>
      <c r="AW108" s="278"/>
      <c r="AX108" s="278"/>
      <c r="AY108" s="278"/>
      <c r="AZ108" s="279"/>
      <c r="BA108" s="283" t="str">
        <f t="shared" si="2"/>
        <v/>
      </c>
      <c r="BB108" s="284"/>
      <c r="BC108" s="285" t="str">
        <f t="shared" si="3"/>
        <v/>
      </c>
      <c r="BD108" s="285"/>
      <c r="BE108" s="285" t="str">
        <f t="shared" si="0"/>
        <v/>
      </c>
      <c r="BF108" s="285"/>
      <c r="BG108" s="285" t="str">
        <f t="shared" si="1"/>
        <v/>
      </c>
      <c r="BH108" s="286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87"/>
      <c r="AL109" s="288"/>
      <c r="AM109" s="288"/>
      <c r="AN109" s="288"/>
      <c r="AO109" s="288"/>
      <c r="AP109" s="288"/>
      <c r="AQ109" s="288"/>
      <c r="AR109" s="289"/>
      <c r="AS109" s="290"/>
      <c r="AT109" s="291"/>
      <c r="AU109" s="291"/>
      <c r="AV109" s="291"/>
      <c r="AW109" s="291"/>
      <c r="AX109" s="291"/>
      <c r="AY109" s="291"/>
      <c r="AZ109" s="292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87"/>
      <c r="AL110" s="288"/>
      <c r="AM110" s="288"/>
      <c r="AN110" s="288"/>
      <c r="AO110" s="288"/>
      <c r="AP110" s="288"/>
      <c r="AQ110" s="288"/>
      <c r="AR110" s="289"/>
      <c r="AS110" s="290"/>
      <c r="AT110" s="291"/>
      <c r="AU110" s="291"/>
      <c r="AV110" s="291"/>
      <c r="AW110" s="291"/>
      <c r="AX110" s="291"/>
      <c r="AY110" s="291"/>
      <c r="AZ110" s="292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55" t="str">
        <f>IF(AK37="","",AK37)</f>
        <v/>
      </c>
      <c r="AL111" s="256"/>
      <c r="AM111" s="256"/>
      <c r="AN111" s="256"/>
      <c r="AO111" s="256"/>
      <c r="AP111" s="256"/>
      <c r="AQ111" s="256"/>
      <c r="AR111" s="257"/>
      <c r="AS111" s="293" t="str">
        <f>IF(AS37="","",AS37)</f>
        <v/>
      </c>
      <c r="AT111" s="294"/>
      <c r="AU111" s="294"/>
      <c r="AV111" s="294"/>
      <c r="AW111" s="294"/>
      <c r="AX111" s="294"/>
      <c r="AY111" s="294"/>
      <c r="AZ111" s="295"/>
      <c r="BA111" s="270" t="str">
        <f t="shared" si="2"/>
        <v/>
      </c>
      <c r="BB111" s="271"/>
      <c r="BC111" s="274" t="str">
        <f t="shared" si="3"/>
        <v/>
      </c>
      <c r="BD111" s="274"/>
      <c r="BE111" s="274" t="str">
        <f t="shared" si="0"/>
        <v/>
      </c>
      <c r="BF111" s="274"/>
      <c r="BG111" s="274" t="str">
        <f t="shared" si="1"/>
        <v/>
      </c>
      <c r="BH111" s="275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4" t="str">
        <f>IF(AK38="","",AK38)</f>
        <v/>
      </c>
      <c r="AL112" s="245"/>
      <c r="AM112" s="245"/>
      <c r="AN112" s="245"/>
      <c r="AO112" s="245"/>
      <c r="AP112" s="245"/>
      <c r="AQ112" s="245"/>
      <c r="AR112" s="246"/>
      <c r="AS112" s="264" t="str">
        <f>IF(AS38="","",AS38)</f>
        <v/>
      </c>
      <c r="AT112" s="265"/>
      <c r="AU112" s="265"/>
      <c r="AV112" s="265"/>
      <c r="AW112" s="265"/>
      <c r="AX112" s="265"/>
      <c r="AY112" s="265"/>
      <c r="AZ112" s="276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4" t="str">
        <f>IF(AK39="","",AK39)</f>
        <v/>
      </c>
      <c r="AL113" s="245"/>
      <c r="AM113" s="245"/>
      <c r="AN113" s="245"/>
      <c r="AO113" s="245"/>
      <c r="AP113" s="245"/>
      <c r="AQ113" s="245"/>
      <c r="AR113" s="246"/>
      <c r="AS113" s="264" t="str">
        <f>IF(AS39="","",AS39)</f>
        <v/>
      </c>
      <c r="AT113" s="265"/>
      <c r="AU113" s="265"/>
      <c r="AV113" s="265"/>
      <c r="AW113" s="265"/>
      <c r="AX113" s="265"/>
      <c r="AY113" s="265"/>
      <c r="AZ113" s="276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4" t="str">
        <f>IF(AK40="","",AK40)</f>
        <v/>
      </c>
      <c r="AL114" s="245"/>
      <c r="AM114" s="245"/>
      <c r="AN114" s="245"/>
      <c r="AO114" s="245"/>
      <c r="AP114" s="245"/>
      <c r="AQ114" s="245"/>
      <c r="AR114" s="246"/>
      <c r="AS114" s="264" t="str">
        <f>IF(AS40="","",AS40)</f>
        <v/>
      </c>
      <c r="AT114" s="265"/>
      <c r="AU114" s="265"/>
      <c r="AV114" s="265"/>
      <c r="AW114" s="265"/>
      <c r="AX114" s="265"/>
      <c r="AY114" s="265"/>
      <c r="AZ114" s="276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0"/>
      <c r="AL115" s="281"/>
      <c r="AM115" s="281"/>
      <c r="AN115" s="281"/>
      <c r="AO115" s="281"/>
      <c r="AP115" s="281"/>
      <c r="AQ115" s="281"/>
      <c r="AR115" s="282"/>
      <c r="AS115" s="277"/>
      <c r="AT115" s="278"/>
      <c r="AU115" s="278"/>
      <c r="AV115" s="278"/>
      <c r="AW115" s="278"/>
      <c r="AX115" s="278"/>
      <c r="AY115" s="278"/>
      <c r="AZ115" s="279"/>
      <c r="BA115" s="283" t="str">
        <f t="shared" si="2"/>
        <v/>
      </c>
      <c r="BB115" s="284"/>
      <c r="BC115" s="285" t="str">
        <f t="shared" si="3"/>
        <v/>
      </c>
      <c r="BD115" s="285"/>
      <c r="BE115" s="285" t="str">
        <f t="shared" si="0"/>
        <v/>
      </c>
      <c r="BF115" s="285"/>
      <c r="BG115" s="285" t="str">
        <f t="shared" si="1"/>
        <v/>
      </c>
      <c r="BH115" s="286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55" t="str">
        <f>IF(AK42="","",AK42)</f>
        <v/>
      </c>
      <c r="AL116" s="256"/>
      <c r="AM116" s="256"/>
      <c r="AN116" s="256"/>
      <c r="AO116" s="256"/>
      <c r="AP116" s="256"/>
      <c r="AQ116" s="256"/>
      <c r="AR116" s="257"/>
      <c r="AS116" s="293" t="str">
        <f>IF(AS42="","",AS42)</f>
        <v/>
      </c>
      <c r="AT116" s="294"/>
      <c r="AU116" s="294"/>
      <c r="AV116" s="294"/>
      <c r="AW116" s="294"/>
      <c r="AX116" s="294"/>
      <c r="AY116" s="294"/>
      <c r="AZ116" s="295"/>
      <c r="BA116" s="270" t="str">
        <f t="shared" si="2"/>
        <v/>
      </c>
      <c r="BB116" s="271"/>
      <c r="BC116" s="274" t="str">
        <f t="shared" si="3"/>
        <v/>
      </c>
      <c r="BD116" s="274"/>
      <c r="BE116" s="274" t="str">
        <f t="shared" si="0"/>
        <v/>
      </c>
      <c r="BF116" s="274"/>
      <c r="BG116" s="274" t="str">
        <f t="shared" si="1"/>
        <v/>
      </c>
      <c r="BH116" s="275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0"/>
      <c r="AL117" s="281"/>
      <c r="AM117" s="281"/>
      <c r="AN117" s="281"/>
      <c r="AO117" s="281"/>
      <c r="AP117" s="281"/>
      <c r="AQ117" s="281"/>
      <c r="AR117" s="282"/>
      <c r="AS117" s="277"/>
      <c r="AT117" s="278"/>
      <c r="AU117" s="278"/>
      <c r="AV117" s="278"/>
      <c r="AW117" s="278"/>
      <c r="AX117" s="278"/>
      <c r="AY117" s="278"/>
      <c r="AZ117" s="279"/>
      <c r="BA117" s="283" t="str">
        <f t="shared" si="2"/>
        <v/>
      </c>
      <c r="BB117" s="284"/>
      <c r="BC117" s="285" t="str">
        <f t="shared" si="3"/>
        <v/>
      </c>
      <c r="BD117" s="285"/>
      <c r="BE117" s="285" t="str">
        <f t="shared" si="0"/>
        <v/>
      </c>
      <c r="BF117" s="285"/>
      <c r="BG117" s="285" t="str">
        <f t="shared" si="1"/>
        <v/>
      </c>
      <c r="BH117" s="286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55" t="str">
        <f>IF(AK44="","",AK44)</f>
        <v/>
      </c>
      <c r="AL118" s="256"/>
      <c r="AM118" s="256"/>
      <c r="AN118" s="256"/>
      <c r="AO118" s="256"/>
      <c r="AP118" s="256"/>
      <c r="AQ118" s="256"/>
      <c r="AR118" s="257"/>
      <c r="AS118" s="293" t="str">
        <f>IF(AS44="","",AS44)</f>
        <v/>
      </c>
      <c r="AT118" s="294"/>
      <c r="AU118" s="294"/>
      <c r="AV118" s="294"/>
      <c r="AW118" s="294"/>
      <c r="AX118" s="294"/>
      <c r="AY118" s="294"/>
      <c r="AZ118" s="295"/>
      <c r="BA118" s="270" t="str">
        <f t="shared" si="2"/>
        <v/>
      </c>
      <c r="BB118" s="271"/>
      <c r="BC118" s="274" t="str">
        <f t="shared" si="3"/>
        <v/>
      </c>
      <c r="BD118" s="274"/>
      <c r="BE118" s="274" t="str">
        <f t="shared" si="0"/>
        <v/>
      </c>
      <c r="BF118" s="274"/>
      <c r="BG118" s="274" t="str">
        <f t="shared" si="1"/>
        <v/>
      </c>
      <c r="BH118" s="275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0"/>
      <c r="AL119" s="281"/>
      <c r="AM119" s="281"/>
      <c r="AN119" s="281"/>
      <c r="AO119" s="281"/>
      <c r="AP119" s="281"/>
      <c r="AQ119" s="281"/>
      <c r="AR119" s="282"/>
      <c r="AS119" s="277"/>
      <c r="AT119" s="278"/>
      <c r="AU119" s="278"/>
      <c r="AV119" s="278"/>
      <c r="AW119" s="278"/>
      <c r="AX119" s="278"/>
      <c r="AY119" s="278"/>
      <c r="AZ119" s="279"/>
      <c r="BA119" s="283" t="str">
        <f t="shared" si="2"/>
        <v/>
      </c>
      <c r="BB119" s="284"/>
      <c r="BC119" s="285" t="str">
        <f t="shared" si="3"/>
        <v/>
      </c>
      <c r="BD119" s="285"/>
      <c r="BE119" s="285" t="str">
        <f t="shared" si="0"/>
        <v/>
      </c>
      <c r="BF119" s="285"/>
      <c r="BG119" s="285" t="str">
        <f t="shared" si="1"/>
        <v/>
      </c>
      <c r="BH119" s="286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4" t="str">
        <f>IF(AK46="","",AK46)</f>
        <v/>
      </c>
      <c r="AL120" s="245"/>
      <c r="AM120" s="245"/>
      <c r="AN120" s="245"/>
      <c r="AO120" s="245"/>
      <c r="AP120" s="245"/>
      <c r="AQ120" s="245"/>
      <c r="AR120" s="246"/>
      <c r="AS120" s="264" t="str">
        <f>IF(AS46="","",AS46)</f>
        <v/>
      </c>
      <c r="AT120" s="265"/>
      <c r="AU120" s="265"/>
      <c r="AV120" s="265"/>
      <c r="AW120" s="265"/>
      <c r="AX120" s="265"/>
      <c r="AY120" s="265"/>
      <c r="AZ120" s="276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4" t="str">
        <f>IF(AK47="","",AK47)</f>
        <v/>
      </c>
      <c r="AL121" s="245"/>
      <c r="AM121" s="245"/>
      <c r="AN121" s="245"/>
      <c r="AO121" s="245"/>
      <c r="AP121" s="245"/>
      <c r="AQ121" s="245"/>
      <c r="AR121" s="246"/>
      <c r="AS121" s="264" t="str">
        <f>IF(AS47="","",AS47)</f>
        <v/>
      </c>
      <c r="AT121" s="265"/>
      <c r="AU121" s="265"/>
      <c r="AV121" s="265"/>
      <c r="AW121" s="265"/>
      <c r="AX121" s="265"/>
      <c r="AY121" s="265"/>
      <c r="AZ121" s="276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2" t="s">
        <v>16</v>
      </c>
      <c r="C122" s="243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4"/>
      <c r="AL122" s="245"/>
      <c r="AM122" s="245"/>
      <c r="AN122" s="245"/>
      <c r="AO122" s="245"/>
      <c r="AP122" s="245"/>
      <c r="AQ122" s="245"/>
      <c r="AR122" s="246"/>
      <c r="AS122" s="264"/>
      <c r="AT122" s="265"/>
      <c r="AU122" s="265"/>
      <c r="AV122" s="265"/>
      <c r="AW122" s="265"/>
      <c r="AX122" s="265"/>
      <c r="AY122" s="265"/>
      <c r="AZ122" s="276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2"/>
      <c r="C123" s="243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4"/>
      <c r="AL123" s="245"/>
      <c r="AM123" s="245"/>
      <c r="AN123" s="245"/>
      <c r="AO123" s="245"/>
      <c r="AP123" s="245"/>
      <c r="AQ123" s="245"/>
      <c r="AR123" s="246"/>
      <c r="AS123" s="264"/>
      <c r="AT123" s="265"/>
      <c r="AU123" s="265"/>
      <c r="AV123" s="265"/>
      <c r="AW123" s="265"/>
      <c r="AX123" s="265"/>
      <c r="AY123" s="265"/>
      <c r="AZ123" s="276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2"/>
      <c r="C124" s="243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4"/>
      <c r="AL124" s="245"/>
      <c r="AM124" s="245"/>
      <c r="AN124" s="245"/>
      <c r="AO124" s="245"/>
      <c r="AP124" s="245"/>
      <c r="AQ124" s="245"/>
      <c r="AR124" s="246"/>
      <c r="AS124" s="264"/>
      <c r="AT124" s="265"/>
      <c r="AU124" s="265"/>
      <c r="AV124" s="265"/>
      <c r="AW124" s="265"/>
      <c r="AX124" s="265"/>
      <c r="AY124" s="265"/>
      <c r="AZ124" s="265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2"/>
      <c r="C125" s="243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67" t="str">
        <f>IF(AS51="","",AS51)</f>
        <v/>
      </c>
      <c r="AT125" s="267"/>
      <c r="AU125" s="267"/>
      <c r="AV125" s="267"/>
      <c r="AW125" s="267"/>
      <c r="AX125" s="267"/>
      <c r="AY125" s="267"/>
      <c r="AZ125" s="264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2">
        <v>6</v>
      </c>
      <c r="C126" s="273"/>
      <c r="D126" s="93" t="s">
        <v>125</v>
      </c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K126" s="255" t="str">
        <f>IF(AK52="","",AK52)</f>
        <v/>
      </c>
      <c r="AL126" s="256"/>
      <c r="AM126" s="256"/>
      <c r="AN126" s="256"/>
      <c r="AO126" s="256"/>
      <c r="AP126" s="256"/>
      <c r="AQ126" s="256"/>
      <c r="AR126" s="257"/>
      <c r="AS126" s="267" t="str">
        <f>IF(AS52="","",AS52)</f>
        <v/>
      </c>
      <c r="AT126" s="267"/>
      <c r="AU126" s="267"/>
      <c r="AV126" s="267"/>
      <c r="AW126" s="267"/>
      <c r="AX126" s="267"/>
      <c r="AY126" s="267"/>
      <c r="AZ126" s="264"/>
      <c r="BA126" s="270" t="str">
        <f>IF(BA52="","",BA52)</f>
        <v/>
      </c>
      <c r="BB126" s="271"/>
      <c r="BC126" s="274" t="str">
        <f>IF(BC52="","",BC52)</f>
        <v/>
      </c>
      <c r="BD126" s="274"/>
      <c r="BE126" s="274" t="str">
        <f>IF(BE52="","",BE52)</f>
        <v/>
      </c>
      <c r="BF126" s="274"/>
      <c r="BG126" s="274" t="str">
        <f>IF(BG52="","",BG52)</f>
        <v/>
      </c>
      <c r="BH126" s="275"/>
      <c r="BI126" s="102"/>
    </row>
    <row r="127" spans="1:89" ht="5.0999999999999996" customHeight="1" thickBot="1" x14ac:dyDescent="0.55000000000000004">
      <c r="A127" s="98"/>
      <c r="B127" s="252"/>
      <c r="C127" s="25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58"/>
      <c r="AT127" s="247"/>
      <c r="AU127" s="247"/>
      <c r="AV127" s="247"/>
      <c r="AW127" s="247"/>
      <c r="AX127" s="247"/>
      <c r="AY127" s="247"/>
      <c r="AZ127" s="268"/>
      <c r="BA127" s="258"/>
      <c r="BB127" s="247"/>
      <c r="BC127" s="247"/>
      <c r="BD127" s="247"/>
      <c r="BE127" s="247"/>
      <c r="BF127" s="247"/>
      <c r="BG127" s="247"/>
      <c r="BH127" s="259"/>
      <c r="BI127" s="102"/>
    </row>
    <row r="128" spans="1:89" ht="18" customHeight="1" thickBot="1" x14ac:dyDescent="0.55000000000000004">
      <c r="A128" s="98"/>
      <c r="B128" s="248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Q128" s="134" t="s">
        <v>20</v>
      </c>
      <c r="AR128" s="135"/>
      <c r="AS128" s="188">
        <f>SUM(AS104:AS126)</f>
        <v>488100</v>
      </c>
      <c r="AT128" s="189"/>
      <c r="AU128" s="189"/>
      <c r="AV128" s="189"/>
      <c r="AW128" s="189"/>
      <c r="AX128" s="189"/>
      <c r="AY128" s="189"/>
      <c r="AZ128" s="251"/>
      <c r="BA128" s="188">
        <f>SUM(BC104:BC126)</f>
        <v>0</v>
      </c>
      <c r="BB128" s="189"/>
      <c r="BC128" s="189"/>
      <c r="BD128" s="189"/>
      <c r="BE128" s="189"/>
      <c r="BF128" s="189"/>
      <c r="BG128" s="189"/>
      <c r="BH128" s="190"/>
      <c r="BI128" s="102"/>
    </row>
    <row r="129" spans="1:61" ht="5.0999999999999996" customHeight="1" thickTop="1" x14ac:dyDescent="0.5">
      <c r="A129" s="98"/>
      <c r="B129" s="248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50"/>
      <c r="BI129" s="102"/>
    </row>
    <row r="130" spans="1:61" ht="18" customHeight="1" x14ac:dyDescent="0.5">
      <c r="A130" s="98"/>
      <c r="B130" s="136" t="s">
        <v>37</v>
      </c>
      <c r="P130" s="261" t="str">
        <f>IF(BA128&gt;0,"("&amp;BAHTTEXT(BA128)&amp;")","")</f>
        <v/>
      </c>
      <c r="Q130" s="262"/>
      <c r="R130" s="262"/>
      <c r="S130" s="262"/>
      <c r="T130" s="262"/>
      <c r="U130" s="262"/>
      <c r="V130" s="262"/>
      <c r="W130" s="262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  <c r="AL130" s="262"/>
      <c r="AM130" s="262"/>
      <c r="AN130" s="262"/>
      <c r="AO130" s="262"/>
      <c r="AP130" s="262"/>
      <c r="AQ130" s="262"/>
      <c r="AR130" s="262"/>
      <c r="AS130" s="262"/>
      <c r="AT130" s="262"/>
      <c r="AU130" s="262"/>
      <c r="AV130" s="262"/>
      <c r="AW130" s="262"/>
      <c r="AX130" s="262"/>
      <c r="AY130" s="262"/>
      <c r="AZ130" s="262"/>
      <c r="BA130" s="262"/>
      <c r="BB130" s="262"/>
      <c r="BC130" s="262"/>
      <c r="BD130" s="262"/>
      <c r="BE130" s="262"/>
      <c r="BF130" s="262"/>
      <c r="BG130" s="263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0">
        <f>+AM58</f>
        <v>9000</v>
      </c>
      <c r="AN132" s="260"/>
      <c r="AO132" s="260"/>
      <c r="AP132" s="260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2"/>
      <c r="C133" s="25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9"/>
      <c r="AM133" s="269"/>
      <c r="AN133" s="269"/>
      <c r="AO133" s="269"/>
      <c r="AP133" s="269"/>
      <c r="AQ133" s="269"/>
      <c r="AR133" s="269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47"/>
      <c r="BE133" s="247"/>
      <c r="BF133" s="247"/>
      <c r="BG133" s="247"/>
      <c r="BH133" s="259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147"/>
      <c r="BI135" s="102"/>
    </row>
    <row r="136" spans="1:61" ht="5.0999999999999996" customHeight="1" thickBot="1" x14ac:dyDescent="0.55000000000000004">
      <c r="A136" s="98"/>
      <c r="B136" s="252"/>
      <c r="C136" s="25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9"/>
      <c r="AM136" s="269"/>
      <c r="AN136" s="269"/>
      <c r="AO136" s="269"/>
      <c r="AP136" s="269"/>
      <c r="AQ136" s="269"/>
      <c r="AR136" s="269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47"/>
      <c r="BE136" s="247"/>
      <c r="BF136" s="247"/>
      <c r="BG136" s="247"/>
      <c r="BH136" s="259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39"/>
      <c r="C139" s="240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34"/>
      <c r="AH140" s="334"/>
      <c r="AI140" s="334"/>
      <c r="AJ140" s="334"/>
      <c r="AK140" s="334"/>
      <c r="AL140" s="334"/>
      <c r="AM140" s="334"/>
      <c r="AN140" s="334"/>
      <c r="AO140" s="334"/>
      <c r="AP140" s="334"/>
      <c r="AQ140" s="334"/>
      <c r="AR140" s="334"/>
      <c r="AS140" s="334"/>
      <c r="AT140" s="334"/>
      <c r="AU140" s="334"/>
      <c r="AV140" s="33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38" t="str">
        <f>AI67</f>
        <v>31/12/2025</v>
      </c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39"/>
      <c r="C142" s="240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2026-01-26T12:22:57Z</cp:lastPrinted>
  <dcterms:created xsi:type="dcterms:W3CDTF">2001-09-19T06:36:34Z</dcterms:created>
  <dcterms:modified xsi:type="dcterms:W3CDTF">2026-01-26T12:22:57Z</dcterms:modified>
  <cp:category>แบบฟอร์มทางราชการ</cp:category>
</cp:coreProperties>
</file>