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58" documentId="6_{DC7EFBB4-F84A-4393-88C7-A29FB3FBFE45}" xr6:coauthVersionLast="47" xr6:coauthVersionMax="47" xr10:uidLastSave="{8722EACE-6E69-466D-8640-2D4C386A0FDD}"/>
  <bookViews>
    <workbookView xWindow="3885" yWindow="3885" windowWidth="21600" windowHeight="11295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Samroeng - Personal View" guid="{DAA1B935-B3DA-4E8A-8ABC-337A4C514C4F}" mergeInterval="0" personalView="1" maximized="1" windowWidth="1239" windowHeight="620" tabRatio="631" activeSheetId="3"/>
    <customWorkbookView name="Administrator - Personal View" guid="{1A58FC97-1235-4D36-9314-B4B392336C5F}" mergeInterval="0" personalView="1" maximized="1" windowWidth="1271" windowHeight="554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<sst xmlns="http://schemas.openxmlformats.org/spreadsheetml/2006/main" count="241" uniqueCount="133">
  <si>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</si>
  <si>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</si>
  <si>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</si>
  <si>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</si>
  <si>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</si>
  <si>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</si>
  <si>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</si>
  <si>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</si>
  <si>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</si>
  <si>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</si>
  <si>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</si>
  <si>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</si>
  <si>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</si>
  <si>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</si>
  <si>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</si>
  <si>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</si>
  <si>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</si>
  <si>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</si>
  <si>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</si>
  <si>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</si>
  <si>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</si>
  <si>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</si>
  <si>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</si>
  <si>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</si>
  <si>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</si>
  <si>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</si>
  <si>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</si>
  <si>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</si>
  <si>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</si>
  <si>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</si>
  <si>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</si>
  <si>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</si>
  <si>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</si>
  <si>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</si>
  <si>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</si>
  <si>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</si>
  <si>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</si>
  <si>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</si>
  <si>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</si>
  <si>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</si>
  <si>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</si>
  <si>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</si>
  <si>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</si>
  <si>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</si>
  <si>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</si>
  <si>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</si>
  <si>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</si>
  <si>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</si>
  <si>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</si>
  <si>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</si>
  <si>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</si>
  <si>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</si>
  <si>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</si>
  <si>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</si>
  <si>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</si>
  <si>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</si>
  <si>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</si>
  <si>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</si>
  <si>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</si>
  <si>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</si>
  <si>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</si>
  <si>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</si>
  <si>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</si>
  <si>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</si>
  <si>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</si>
  <si>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</si>
  <si>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</si>
  <si>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</si>
  <si>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</si>
  <si>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</si>
  <si>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</si>
  <si>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</si>
  <si>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</si>
  <si>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</si>
  <si>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</si>
  <si>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</si>
  <si>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</si>
  <si>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</si>
  <si>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</si>
  <si>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</si>
  <si>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</si>
  <si>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</si>
  <si>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</si>
  <si>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</si>
  <si>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</si>
  <si>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</si>
  <si>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</si>
  <si>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</si>
  <si>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</si>
  <si>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</si>
  <si>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</si>
  <si>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</si>
  <si>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</si>
  <si>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</si>
  <si>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</si>
  <si>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</si>
  <si>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</si>
  <si>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</si>
  <si>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</si>
  <si>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</si>
  <si>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</si>
  <si>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</si>
  <si>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</si>
  <si>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</si>
  <si>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</si>
  <si>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</si>
  <si>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</si>
  <si>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</si>
  <si>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</si>
  <si>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</si>
  <si>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</si>
  <si>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</si>
  <si>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</si>
  <si>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</si>
  <si>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</si>
  <si>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</si>
  <si>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</si>
  <si>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</si>
  <si>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</si>
  <si>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</si>
  <si>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</si>
  <si>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</si>
  <si>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</si>
  <si>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</si>
  <si>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</si>
  <si>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</si>
  <si>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</si>
  <si>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</si>
  <si>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</si>
  <si>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บลู เปเปอร์ จำกัด</t>
  </si>
  <si>
    <t>อาคารไอ ที เอฟ ทาวเวอร์ ห้องเลขที่ - ชั้นที่ 25 เลขที่ 140/61 ถนนสีลม แขวงสุริยวงศ์ เขตบางรัก กรุงเทพมหานคร 10500</t>
  </si>
  <si>
    <t>ศูนย์บาทถ้วน</t>
  </si>
  <si>
    <t>นางสาวธิชารัตน์ วงษ์บัวงาม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</si>
</sst>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5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54" xfId="0" applyFont="1" applyBorder="1" applyAlignment="1">
      <alignment vertical="center"/>
    </xf>
    <xf numFmtId="0" fontId="10" fillId="0" borderId="75" xfId="0" applyFont="1" applyBorder="1" applyAlignment="1">
      <alignment horizontal="center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14" fillId="0" borderId="30" xfId="0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30" fillId="0" borderId="72" xfId="0" applyFont="1" applyBorder="1" applyAlignment="1" applyProtection="1">
      <alignment horizontal="center" vertical="center"/>
      <protection locked="0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5" fillId="0" borderId="0" xfId="0" quotePrefix="1" applyFont="1" applyAlignment="1">
      <alignment vertical="center"/>
    </xf>
    <xf numFmtId="0" fontId="10" fillId="0" borderId="52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wrapText="1" indent="1"/>
    </xf>
    <xf numFmtId="0" fontId="14" fillId="0" borderId="54" xfId="0" applyFont="1" applyBorder="1" applyAlignment="1">
      <alignment horizontal="left" vertical="center" indent="1"/>
    </xf>
    <xf numFmtId="0" fontId="14" fillId="0" borderId="54" xfId="0" applyFont="1" applyBorder="1" applyAlignment="1">
      <alignment horizontal="left" vertical="center" indent="1" shrinkToFit="1"/>
    </xf>
    <xf numFmtId="0" fontId="11" fillId="0" borderId="54" xfId="0" applyFont="1" applyBorder="1" applyAlignment="1">
      <alignment horizontal="left" vertical="center" indent="1"/>
    </xf>
    <xf numFmtId="188" fontId="15" fillId="0" borderId="0" xfId="0" applyNumberFormat="1" applyFont="1" applyAlignment="1">
      <alignment horizontal="left" vertical="center"/>
    </xf>
    <xf numFmtId="0" fontId="10" fillId="0" borderId="50" xfId="0" applyFont="1" applyBorder="1" applyAlignment="1">
      <alignment horizontal="center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43" fontId="15" fillId="0" borderId="30" xfId="5" applyFont="1" applyBorder="1" applyAlignment="1">
      <alignment horizontal="right" vertical="center"/>
    </xf>
    <xf numFmtId="0" fontId="15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43" fontId="9" fillId="0" borderId="67" xfId="5" applyFont="1" applyBorder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0" fontId="15" fillId="0" borderId="67" xfId="0" applyFont="1" applyBorder="1" applyAlignment="1">
      <alignment vertical="center"/>
    </xf>
    <xf numFmtId="43" fontId="9" fillId="0" borderId="8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43" fontId="15" fillId="0" borderId="30" xfId="5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43" fontId="9" fillId="0" borderId="47" xfId="5" applyFont="1" applyBorder="1" applyAlignment="1">
      <alignment horizontal="right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43" fontId="26" fillId="0" borderId="66" xfId="5" applyFont="1" applyBorder="1" applyAlignment="1">
      <alignment horizontal="right" vertical="center"/>
    </xf>
    <xf numFmtId="43" fontId="26" fillId="0" borderId="67" xfId="5" applyFont="1" applyBorder="1" applyAlignment="1">
      <alignment horizontal="right" vertical="center"/>
    </xf>
    <xf numFmtId="43" fontId="26" fillId="0" borderId="85" xfId="5" applyFont="1" applyBorder="1" applyAlignment="1">
      <alignment horizontal="right" vertical="center"/>
    </xf>
    <xf numFmtId="43" fontId="26" fillId="0" borderId="88" xfId="5" applyFont="1" applyBorder="1" applyAlignment="1">
      <alignment horizontal="right" vertical="center"/>
    </xf>
    <xf numFmtId="191" fontId="15" fillId="0" borderId="67" xfId="5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43" fontId="26" fillId="0" borderId="66" xfId="5" applyFont="1" applyBorder="1" applyAlignment="1">
      <alignment horizontal="center" vertical="center"/>
    </xf>
    <xf numFmtId="43" fontId="26" fillId="0" borderId="67" xfId="5" applyFont="1" applyBorder="1" applyAlignment="1">
      <alignment horizontal="center" vertical="center"/>
    </xf>
    <xf numFmtId="43" fontId="26" fillId="0" borderId="68" xfId="5" applyFont="1" applyBorder="1" applyAlignment="1">
      <alignment horizontal="center" vertical="center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1</xdr:row>
          <xdr:rowOff>161925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43" t="s">
        <v>110</v>
      </c>
      <c r="C3" s="344"/>
      <c r="D3" s="345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39"/>
      <c r="I5" s="340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46"/>
      <c r="D7" s="347"/>
      <c r="E7" s="347"/>
      <c r="F7" s="347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48"/>
      <c r="E8" s="349"/>
      <c r="F8" s="350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51"/>
      <c r="E9" s="352"/>
      <c r="F9" s="352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41"/>
      <c r="E12" s="342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topLeftCell="A16" zoomScale="130" zoomScaleNormal="85" zoomScaleSheetLayoutView="130" workbookViewId="0">
      <selection activeCell="X2" sqref="X2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306" t="s">
        <v>23</v>
      </c>
      <c r="L4" s="306"/>
      <c r="M4" s="306"/>
      <c r="N4" s="306"/>
      <c r="O4" s="306"/>
      <c r="P4" s="306"/>
      <c r="Q4" s="306"/>
      <c r="R4" s="306"/>
      <c r="S4" s="306"/>
      <c r="T4" s="306"/>
      <c r="U4" s="306"/>
      <c r="V4" s="306"/>
      <c r="W4" s="306"/>
      <c r="X4" s="306"/>
      <c r="Y4" s="306"/>
      <c r="Z4" s="306"/>
      <c r="AA4" s="306"/>
      <c r="AB4" s="306"/>
      <c r="AC4" s="306"/>
      <c r="AD4" s="306"/>
      <c r="AE4" s="306"/>
      <c r="AF4" s="306"/>
      <c r="AG4" s="306"/>
      <c r="AH4" s="306"/>
      <c r="AI4" s="306"/>
      <c r="AJ4" s="306"/>
      <c r="AK4" s="306"/>
      <c r="AL4" s="306"/>
      <c r="AM4" s="306"/>
      <c r="AN4" s="306"/>
      <c r="AO4" s="306"/>
      <c r="AP4" s="306"/>
      <c r="AQ4" s="306"/>
      <c r="AR4" s="306"/>
      <c r="AS4" s="306"/>
      <c r="AT4" s="306"/>
      <c r="AU4" s="306"/>
      <c r="AV4" s="306"/>
      <c r="AW4" s="306"/>
      <c r="AX4" s="306"/>
      <c r="AY4" s="306"/>
      <c r="AZ4" s="96" t="s">
        <v>56</v>
      </c>
      <c r="BA4" s="96"/>
      <c r="BB4" s="96"/>
      <c r="BC4" s="223"/>
      <c r="BD4" s="223"/>
      <c r="BE4" s="223"/>
      <c r="BF4" s="223"/>
      <c r="BG4" s="223"/>
      <c r="BH4" s="223"/>
      <c r="BI4" s="97"/>
      <c r="BT4" s="93" t="s">
        <v>88</v>
      </c>
      <c r="BX4" s="93" t="s">
        <v>97</v>
      </c>
      <c r="BY4" s="220">
        <v>2022</v>
      </c>
      <c r="BZ4" s="220"/>
      <c r="CA4" s="220"/>
      <c r="CB4" s="220"/>
    </row>
    <row r="5" spans="1:84" ht="15" customHeight="1" x14ac:dyDescent="0.5">
      <c r="A5" s="98"/>
      <c r="C5" s="100"/>
      <c r="K5" s="249" t="s">
        <v>57</v>
      </c>
      <c r="L5" s="249"/>
      <c r="M5" s="249"/>
      <c r="N5" s="249"/>
      <c r="O5" s="249"/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49"/>
      <c r="AB5" s="249"/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49"/>
      <c r="AO5" s="249"/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99" t="s">
        <v>2</v>
      </c>
      <c r="BC5" s="224"/>
      <c r="BD5" s="224"/>
      <c r="BE5" s="224"/>
      <c r="BF5" s="224"/>
      <c r="BG5" s="224"/>
      <c r="BH5" s="224"/>
      <c r="BI5" s="102"/>
      <c r="BT5" s="93" t="s">
        <v>85</v>
      </c>
      <c r="BX5" s="99" t="s">
        <v>97</v>
      </c>
      <c r="BY5" s="221" t="s">
        <v>99</v>
      </c>
      <c r="BZ5" s="221"/>
      <c r="CA5" s="221"/>
      <c r="CB5" s="221"/>
      <c r="CC5" s="221"/>
      <c r="CD5" s="221"/>
      <c r="CE5" s="221"/>
      <c r="CF5" s="221"/>
    </row>
    <row r="6" spans="1:84" ht="5.0999999999999996" customHeight="1" thickBot="1" x14ac:dyDescent="0.55000000000000004">
      <c r="A6" s="98"/>
      <c r="B6" s="222"/>
      <c r="C6" s="222"/>
      <c r="D6" s="222"/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16">
        <v>0</v>
      </c>
      <c r="AE8" s="217"/>
      <c r="AF8" s="166"/>
      <c r="AG8" s="213">
        <v>2</v>
      </c>
      <c r="AH8" s="214"/>
      <c r="AI8" s="214">
        <v>0</v>
      </c>
      <c r="AJ8" s="214"/>
      <c r="AK8" s="214">
        <v>5</v>
      </c>
      <c r="AL8" s="214"/>
      <c r="AM8" s="214">
        <v>5</v>
      </c>
      <c r="AN8" s="219"/>
      <c r="AO8" s="166"/>
      <c r="AP8" s="213">
        <v>6</v>
      </c>
      <c r="AQ8" s="214"/>
      <c r="AR8" s="214">
        <v>0</v>
      </c>
      <c r="AS8" s="214"/>
      <c r="AT8" s="214">
        <v>0</v>
      </c>
      <c r="AU8" s="214"/>
      <c r="AV8" s="214">
        <v>4</v>
      </c>
      <c r="AW8" s="214"/>
      <c r="AX8" s="214">
        <v>0</v>
      </c>
      <c r="AY8" s="219"/>
      <c r="AZ8" s="166"/>
      <c r="BA8" s="213">
        <v>5</v>
      </c>
      <c r="BB8" s="214"/>
      <c r="BC8" s="214">
        <v>0</v>
      </c>
      <c r="BD8" s="219"/>
      <c r="BE8" s="166"/>
      <c r="BF8" s="216">
        <v>7</v>
      </c>
      <c r="BG8" s="21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235" t="s">
        <v>129</v>
      </c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AI10" s="108" t="s">
        <v>3</v>
      </c>
      <c r="AK10" s="230"/>
      <c r="AL10" s="231"/>
      <c r="AM10" s="93"/>
      <c r="AN10" s="218"/>
      <c r="AO10" s="205"/>
      <c r="AP10" s="205"/>
      <c r="AQ10" s="205"/>
      <c r="AR10" s="205"/>
      <c r="AS10" s="205"/>
      <c r="AT10" s="205"/>
      <c r="AU10" s="208"/>
      <c r="AV10" s="93"/>
      <c r="AW10" s="218"/>
      <c r="AX10" s="205"/>
      <c r="AY10" s="205"/>
      <c r="AZ10" s="205"/>
      <c r="BA10" s="205"/>
      <c r="BB10" s="205"/>
      <c r="BC10" s="205"/>
      <c r="BD10" s="208"/>
      <c r="BE10" s="93"/>
      <c r="BF10" s="230"/>
      <c r="BG10" s="231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233"/>
      <c r="E12" s="233"/>
      <c r="F12" s="233"/>
      <c r="G12" s="233"/>
      <c r="H12" s="233"/>
      <c r="I12" s="233"/>
      <c r="J12" s="233"/>
      <c r="K12" s="233"/>
      <c r="L12" s="233"/>
      <c r="M12" s="233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33"/>
      <c r="BG12" s="233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16">
        <v>1</v>
      </c>
      <c r="AE16" s="217"/>
      <c r="AF16" s="166"/>
      <c r="AG16" s="213">
        <v>7</v>
      </c>
      <c r="AH16" s="214"/>
      <c r="AI16" s="214">
        <v>2</v>
      </c>
      <c r="AJ16" s="214"/>
      <c r="AK16" s="214">
        <v>9</v>
      </c>
      <c r="AL16" s="214"/>
      <c r="AM16" s="214">
        <v>8</v>
      </c>
      <c r="AN16" s="219"/>
      <c r="AO16" s="166"/>
      <c r="AP16" s="213">
        <v>0</v>
      </c>
      <c r="AQ16" s="214"/>
      <c r="AR16" s="214">
        <v>0</v>
      </c>
      <c r="AS16" s="214"/>
      <c r="AT16" s="214">
        <v>2</v>
      </c>
      <c r="AU16" s="214"/>
      <c r="AV16" s="214">
        <v>7</v>
      </c>
      <c r="AW16" s="214"/>
      <c r="AX16" s="214">
        <v>0</v>
      </c>
      <c r="AY16" s="219"/>
      <c r="AZ16" s="166"/>
      <c r="BA16" s="213">
        <v>2</v>
      </c>
      <c r="BB16" s="214"/>
      <c r="BC16" s="214">
        <v>9</v>
      </c>
      <c r="BD16" s="219"/>
      <c r="BE16" s="166"/>
      <c r="BF16" s="216">
        <v>1</v>
      </c>
      <c r="BG16" s="217"/>
      <c r="BH16" s="102"/>
      <c r="BI16" s="102"/>
      <c r="BL16" s="236" t="str">
        <f>IF(Doc_No="","",INDEX(#REF!,MATCH(D18,#REF!,0)))</f>
        <v/>
      </c>
      <c r="BM16" s="236"/>
      <c r="BN16" s="236"/>
      <c r="BO16" s="236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4" t="s">
        <v>132</v>
      </c>
      <c r="E18" s="234"/>
      <c r="F18" s="234"/>
      <c r="G18" s="234"/>
      <c r="H18" s="234"/>
      <c r="I18" s="234"/>
      <c r="J18" s="234"/>
      <c r="K18" s="234"/>
      <c r="L18" s="234"/>
      <c r="M18" s="234"/>
      <c r="N18" s="234"/>
      <c r="O18" s="234"/>
      <c r="P18" s="234"/>
      <c r="Q18" s="234"/>
      <c r="R18" s="234"/>
      <c r="S18" s="234"/>
      <c r="T18" s="234"/>
      <c r="U18" s="234"/>
      <c r="V18" s="234"/>
      <c r="W18" s="234"/>
      <c r="AI18" s="108" t="s">
        <v>3</v>
      </c>
      <c r="AK18" s="230"/>
      <c r="AL18" s="231"/>
      <c r="AM18" s="93"/>
      <c r="AN18" s="218"/>
      <c r="AO18" s="205"/>
      <c r="AP18" s="205"/>
      <c r="AQ18" s="205"/>
      <c r="AR18" s="205"/>
      <c r="AS18" s="205"/>
      <c r="AT18" s="205"/>
      <c r="AU18" s="208"/>
      <c r="AV18" s="93"/>
      <c r="AW18" s="218"/>
      <c r="AX18" s="205"/>
      <c r="AY18" s="205"/>
      <c r="AZ18" s="205"/>
      <c r="BA18" s="205"/>
      <c r="BB18" s="205"/>
      <c r="BC18" s="205"/>
      <c r="BD18" s="208"/>
      <c r="BE18" s="93"/>
      <c r="BF18" s="230"/>
      <c r="BG18" s="231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232" t="s">
        <v>130</v>
      </c>
      <c r="E20" s="233"/>
      <c r="F20" s="233"/>
      <c r="G20" s="233"/>
      <c r="H20" s="233"/>
      <c r="I20" s="233"/>
      <c r="J20" s="233"/>
      <c r="K20" s="233"/>
      <c r="L20" s="233"/>
      <c r="M20" s="233"/>
      <c r="N20" s="233"/>
      <c r="O20" s="233"/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3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230"/>
      <c r="G23" s="312"/>
      <c r="H23" s="312"/>
      <c r="I23" s="312"/>
      <c r="J23" s="231"/>
      <c r="L23" s="99" t="s">
        <v>4</v>
      </c>
      <c r="P23" s="119"/>
      <c r="Q23" s="119"/>
      <c r="R23" s="119"/>
      <c r="S23" s="119"/>
      <c r="Y23" s="206" t="s">
        <v>71</v>
      </c>
      <c r="Z23" s="206"/>
      <c r="AA23" s="206"/>
      <c r="AB23" s="206"/>
      <c r="AC23" s="206"/>
      <c r="AD23" s="206"/>
      <c r="AE23" s="206"/>
      <c r="AF23" s="206"/>
      <c r="AH23" s="206" t="s">
        <v>68</v>
      </c>
      <c r="AI23" s="206"/>
      <c r="AJ23" s="206"/>
      <c r="AK23" s="206"/>
      <c r="AL23" s="206"/>
      <c r="AM23" s="206"/>
      <c r="AN23" s="206"/>
      <c r="AO23" s="206"/>
      <c r="AP23" s="206"/>
      <c r="AR23" s="229" t="s">
        <v>66</v>
      </c>
      <c r="AS23" s="229"/>
      <c r="AT23" s="229"/>
      <c r="AU23" s="229"/>
      <c r="AV23" s="229"/>
      <c r="AW23" s="229"/>
      <c r="AX23" s="229"/>
      <c r="AY23" s="229"/>
      <c r="BA23" s="229" t="s">
        <v>65</v>
      </c>
      <c r="BB23" s="229"/>
      <c r="BC23" s="229"/>
      <c r="BD23" s="229"/>
      <c r="BE23" s="229"/>
      <c r="BF23" s="229"/>
      <c r="BG23" s="229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48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49"/>
      <c r="AX24" s="249"/>
      <c r="AY24" s="249"/>
      <c r="AZ24" s="249"/>
      <c r="BA24" s="249"/>
      <c r="BB24" s="249"/>
      <c r="BC24" s="249"/>
      <c r="BD24" s="249"/>
      <c r="BE24" s="249"/>
      <c r="BF24" s="249"/>
      <c r="BG24" s="249"/>
      <c r="BH24" s="250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206" t="s">
        <v>70</v>
      </c>
      <c r="Z25" s="206"/>
      <c r="AA25" s="206"/>
      <c r="AB25" s="206"/>
      <c r="AC25" s="206"/>
      <c r="AD25" s="206"/>
      <c r="AE25" s="206"/>
      <c r="AF25" s="206"/>
      <c r="AH25" s="206" t="s">
        <v>69</v>
      </c>
      <c r="AI25" s="206"/>
      <c r="AJ25" s="206"/>
      <c r="AK25" s="206"/>
      <c r="AL25" s="206"/>
      <c r="AM25" s="206"/>
      <c r="AN25" s="206"/>
      <c r="AO25" s="206"/>
      <c r="AP25" s="206"/>
      <c r="AR25" s="229" t="s">
        <v>67</v>
      </c>
      <c r="AS25" s="229"/>
      <c r="AT25" s="229"/>
      <c r="AU25" s="229"/>
      <c r="AV25" s="229"/>
      <c r="AW25" s="229"/>
      <c r="AX25" s="229"/>
      <c r="AY25" s="229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206"/>
      <c r="Z26" s="206"/>
      <c r="AA26" s="206"/>
      <c r="AB26" s="206"/>
      <c r="AC26" s="206"/>
      <c r="AD26" s="206"/>
      <c r="AE26" s="206"/>
      <c r="AF26" s="206"/>
      <c r="AH26" s="206"/>
      <c r="AI26" s="206"/>
      <c r="AJ26" s="206"/>
      <c r="AK26" s="206"/>
      <c r="AL26" s="206"/>
      <c r="AM26" s="206"/>
      <c r="AN26" s="206"/>
      <c r="AO26" s="206"/>
      <c r="AP26" s="206"/>
      <c r="AQ26" s="120"/>
      <c r="AR26" s="229"/>
      <c r="AS26" s="229"/>
      <c r="AT26" s="229"/>
      <c r="AU26" s="229"/>
      <c r="AV26" s="229"/>
      <c r="AW26" s="229"/>
      <c r="AX26" s="229"/>
      <c r="AY26" s="229"/>
      <c r="BH26" s="102"/>
      <c r="BI26" s="102"/>
    </row>
    <row r="27" spans="1:70" ht="5.0999999999999996" customHeight="1" thickBot="1" x14ac:dyDescent="0.55000000000000004">
      <c r="A27" s="98"/>
      <c r="B27" s="195"/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6"/>
      <c r="AS27" s="196"/>
      <c r="AT27" s="196"/>
      <c r="AU27" s="196"/>
      <c r="AV27" s="196"/>
      <c r="AW27" s="196"/>
      <c r="AX27" s="196"/>
      <c r="AY27" s="196"/>
      <c r="AZ27" s="196"/>
      <c r="BA27" s="196"/>
      <c r="BB27" s="196"/>
      <c r="BC27" s="196"/>
      <c r="BD27" s="196"/>
      <c r="BE27" s="196"/>
      <c r="BF27" s="196"/>
      <c r="BG27" s="196"/>
      <c r="BH27" s="197"/>
      <c r="BI27" s="102"/>
    </row>
    <row r="28" spans="1:70" ht="18" customHeight="1" x14ac:dyDescent="0.5">
      <c r="A28" s="98"/>
      <c r="B28" s="305" t="s">
        <v>29</v>
      </c>
      <c r="C28" s="306"/>
      <c r="D28" s="306"/>
      <c r="E28" s="306"/>
      <c r="F28" s="306"/>
      <c r="G28" s="306"/>
      <c r="H28" s="306"/>
      <c r="I28" s="306"/>
      <c r="J28" s="306"/>
      <c r="K28" s="306"/>
      <c r="L28" s="306"/>
      <c r="M28" s="306"/>
      <c r="N28" s="306"/>
      <c r="O28" s="306"/>
      <c r="P28" s="306"/>
      <c r="Q28" s="306"/>
      <c r="R28" s="306"/>
      <c r="S28" s="306"/>
      <c r="T28" s="306"/>
      <c r="U28" s="306"/>
      <c r="V28" s="306"/>
      <c r="W28" s="306"/>
      <c r="X28" s="306"/>
      <c r="Y28" s="306"/>
      <c r="Z28" s="306"/>
      <c r="AA28" s="306"/>
      <c r="AB28" s="306"/>
      <c r="AC28" s="306"/>
      <c r="AD28" s="306"/>
      <c r="AE28" s="306"/>
      <c r="AF28" s="306"/>
      <c r="AG28" s="306"/>
      <c r="AH28" s="306"/>
      <c r="AI28" s="306"/>
      <c r="AJ28" s="307"/>
      <c r="AK28" s="310" t="s">
        <v>10</v>
      </c>
      <c r="AL28" s="306"/>
      <c r="AM28" s="306"/>
      <c r="AN28" s="306"/>
      <c r="AO28" s="306"/>
      <c r="AP28" s="306"/>
      <c r="AQ28" s="306"/>
      <c r="AR28" s="307"/>
      <c r="AS28" s="310" t="s">
        <v>9</v>
      </c>
      <c r="AT28" s="306"/>
      <c r="AU28" s="306"/>
      <c r="AV28" s="306"/>
      <c r="AW28" s="306"/>
      <c r="AX28" s="306"/>
      <c r="AY28" s="306"/>
      <c r="AZ28" s="307"/>
      <c r="BA28" s="310" t="s">
        <v>7</v>
      </c>
      <c r="BB28" s="306"/>
      <c r="BC28" s="306"/>
      <c r="BD28" s="306"/>
      <c r="BE28" s="306"/>
      <c r="BF28" s="306"/>
      <c r="BG28" s="306"/>
      <c r="BH28" s="311"/>
      <c r="BI28" s="102"/>
    </row>
    <row r="29" spans="1:70" ht="18" customHeight="1" thickBot="1" x14ac:dyDescent="0.55000000000000004">
      <c r="A29" s="98"/>
      <c r="B29" s="308"/>
      <c r="C29" s="203"/>
      <c r="D29" s="203"/>
      <c r="E29" s="203"/>
      <c r="F29" s="203"/>
      <c r="G29" s="203"/>
      <c r="H29" s="203"/>
      <c r="I29" s="203"/>
      <c r="J29" s="203"/>
      <c r="K29" s="203"/>
      <c r="L29" s="203"/>
      <c r="M29" s="203"/>
      <c r="N29" s="203"/>
      <c r="O29" s="203"/>
      <c r="P29" s="203"/>
      <c r="Q29" s="203"/>
      <c r="R29" s="203"/>
      <c r="S29" s="203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309"/>
      <c r="AK29" s="202" t="s">
        <v>11</v>
      </c>
      <c r="AL29" s="203"/>
      <c r="AM29" s="203"/>
      <c r="AN29" s="203"/>
      <c r="AO29" s="203"/>
      <c r="AP29" s="203"/>
      <c r="AQ29" s="203"/>
      <c r="AR29" s="309"/>
      <c r="AS29" s="202"/>
      <c r="AT29" s="203"/>
      <c r="AU29" s="203"/>
      <c r="AV29" s="203"/>
      <c r="AW29" s="203"/>
      <c r="AX29" s="203"/>
      <c r="AY29" s="203"/>
      <c r="AZ29" s="309"/>
      <c r="BA29" s="202" t="s">
        <v>8</v>
      </c>
      <c r="BB29" s="203"/>
      <c r="BC29" s="203"/>
      <c r="BD29" s="203"/>
      <c r="BE29" s="203"/>
      <c r="BF29" s="203"/>
      <c r="BG29" s="203"/>
      <c r="BH29" s="204"/>
      <c r="BI29" s="102"/>
    </row>
    <row r="30" spans="1:70" ht="15.95" customHeight="1" x14ac:dyDescent="0.5">
      <c r="A30" s="98"/>
      <c r="B30" s="242" t="s">
        <v>12</v>
      </c>
      <c r="C30" s="243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99" t="s">
        <v>128</v>
      </c>
      <c r="AL30" s="300"/>
      <c r="AM30" s="300"/>
      <c r="AN30" s="300"/>
      <c r="AO30" s="300"/>
      <c r="AP30" s="300"/>
      <c r="AQ30" s="300"/>
      <c r="AR30" s="301"/>
      <c r="AS30" s="326">
        <v>26266.67</v>
      </c>
      <c r="AT30" s="327"/>
      <c r="AU30" s="327"/>
      <c r="AV30" s="327"/>
      <c r="AW30" s="327"/>
      <c r="AX30" s="327"/>
      <c r="AY30" s="327"/>
      <c r="AZ30" s="328"/>
      <c r="BA30" s="336">
        <v>0</v>
      </c>
      <c r="BB30" s="337"/>
      <c r="BC30" s="337"/>
      <c r="BD30" s="337"/>
      <c r="BE30" s="337"/>
      <c r="BF30" s="337"/>
      <c r="BG30" s="337"/>
      <c r="BH30" s="338"/>
      <c r="BI30" s="102"/>
    </row>
    <row r="31" spans="1:70" ht="15.95" customHeight="1" x14ac:dyDescent="0.5">
      <c r="A31" s="98"/>
      <c r="B31" s="242" t="s">
        <v>13</v>
      </c>
      <c r="C31" s="243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9"/>
      <c r="AL31" s="200"/>
      <c r="AM31" s="200"/>
      <c r="AN31" s="200"/>
      <c r="AO31" s="200"/>
      <c r="AP31" s="200"/>
      <c r="AQ31" s="200"/>
      <c r="AR31" s="201"/>
      <c r="AS31" s="180"/>
      <c r="AT31" s="181"/>
      <c r="AU31" s="181"/>
      <c r="AV31" s="181"/>
      <c r="AW31" s="181"/>
      <c r="AX31" s="181"/>
      <c r="AY31" s="181"/>
      <c r="AZ31" s="182"/>
      <c r="BA31" s="170"/>
      <c r="BB31" s="171"/>
      <c r="BC31" s="172"/>
      <c r="BD31" s="172"/>
      <c r="BE31" s="172"/>
      <c r="BF31" s="172"/>
      <c r="BG31" s="172"/>
      <c r="BH31" s="173"/>
      <c r="BI31" s="102"/>
    </row>
    <row r="32" spans="1:70" ht="15.95" customHeight="1" x14ac:dyDescent="0.5">
      <c r="A32" s="98"/>
      <c r="B32" s="242" t="s">
        <v>14</v>
      </c>
      <c r="C32" s="243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9"/>
      <c r="AL32" s="200"/>
      <c r="AM32" s="200"/>
      <c r="AN32" s="200"/>
      <c r="AO32" s="200"/>
      <c r="AP32" s="200"/>
      <c r="AQ32" s="200"/>
      <c r="AR32" s="201"/>
      <c r="AS32" s="180"/>
      <c r="AT32" s="181"/>
      <c r="AU32" s="181"/>
      <c r="AV32" s="181"/>
      <c r="AW32" s="181"/>
      <c r="AX32" s="181"/>
      <c r="AY32" s="181"/>
      <c r="AZ32" s="182"/>
      <c r="BA32" s="170"/>
      <c r="BB32" s="171"/>
      <c r="BC32" s="172"/>
      <c r="BD32" s="172"/>
      <c r="BE32" s="172"/>
      <c r="BF32" s="172"/>
      <c r="BG32" s="172"/>
      <c r="BH32" s="173"/>
      <c r="BI32" s="102"/>
    </row>
    <row r="33" spans="1:61" ht="15.95" customHeight="1" x14ac:dyDescent="0.5">
      <c r="A33" s="98"/>
      <c r="B33" s="242" t="s">
        <v>15</v>
      </c>
      <c r="C33" s="243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9"/>
      <c r="AL33" s="200"/>
      <c r="AM33" s="200"/>
      <c r="AN33" s="200"/>
      <c r="AO33" s="200"/>
      <c r="AP33" s="200"/>
      <c r="AQ33" s="200"/>
      <c r="AR33" s="201"/>
      <c r="AS33" s="180"/>
      <c r="AT33" s="181"/>
      <c r="AU33" s="181"/>
      <c r="AV33" s="181"/>
      <c r="AW33" s="181"/>
      <c r="AX33" s="181"/>
      <c r="AY33" s="181"/>
      <c r="AZ33" s="182"/>
      <c r="BA33" s="170"/>
      <c r="BB33" s="171"/>
      <c r="BC33" s="172"/>
      <c r="BD33" s="172"/>
      <c r="BE33" s="172"/>
      <c r="BF33" s="172"/>
      <c r="BG33" s="172"/>
      <c r="BH33" s="173"/>
      <c r="BI33" s="102"/>
    </row>
    <row r="34" spans="1:61" ht="15.95" customHeight="1" x14ac:dyDescent="0.5">
      <c r="A34" s="98"/>
      <c r="B34" s="242"/>
      <c r="C34" s="243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323"/>
      <c r="AL34" s="324"/>
      <c r="AM34" s="324"/>
      <c r="AN34" s="324"/>
      <c r="AO34" s="324"/>
      <c r="AP34" s="324"/>
      <c r="AQ34" s="324"/>
      <c r="AR34" s="325"/>
      <c r="AS34" s="313"/>
      <c r="AT34" s="314"/>
      <c r="AU34" s="314"/>
      <c r="AV34" s="314"/>
      <c r="AW34" s="314"/>
      <c r="AX34" s="314"/>
      <c r="AY34" s="314"/>
      <c r="AZ34" s="315"/>
      <c r="BA34" s="227"/>
      <c r="BB34" s="228"/>
      <c r="BC34" s="186"/>
      <c r="BD34" s="186"/>
      <c r="BE34" s="186"/>
      <c r="BF34" s="186"/>
      <c r="BG34" s="186"/>
      <c r="BH34" s="187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319"/>
      <c r="AL35" s="320"/>
      <c r="AM35" s="320"/>
      <c r="AN35" s="320"/>
      <c r="AO35" s="320"/>
      <c r="AP35" s="320"/>
      <c r="AQ35" s="320"/>
      <c r="AR35" s="321"/>
      <c r="AS35" s="183"/>
      <c r="AT35" s="184"/>
      <c r="AU35" s="184"/>
      <c r="AV35" s="184"/>
      <c r="AW35" s="184"/>
      <c r="AX35" s="184"/>
      <c r="AY35" s="184"/>
      <c r="AZ35" s="185"/>
      <c r="BA35" s="178"/>
      <c r="BB35" s="179"/>
      <c r="BC35" s="174"/>
      <c r="BD35" s="174"/>
      <c r="BE35" s="174"/>
      <c r="BF35" s="174"/>
      <c r="BG35" s="174"/>
      <c r="BH35" s="175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319"/>
      <c r="AL36" s="320"/>
      <c r="AM36" s="320"/>
      <c r="AN36" s="320"/>
      <c r="AO36" s="320"/>
      <c r="AP36" s="320"/>
      <c r="AQ36" s="320"/>
      <c r="AR36" s="321"/>
      <c r="AS36" s="183"/>
      <c r="AT36" s="184"/>
      <c r="AU36" s="184"/>
      <c r="AV36" s="184"/>
      <c r="AW36" s="184"/>
      <c r="AX36" s="184"/>
      <c r="AY36" s="184"/>
      <c r="AZ36" s="185"/>
      <c r="BA36" s="178"/>
      <c r="BB36" s="179"/>
      <c r="BC36" s="174"/>
      <c r="BD36" s="174"/>
      <c r="BE36" s="174"/>
      <c r="BF36" s="174"/>
      <c r="BG36" s="174"/>
      <c r="BH36" s="175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331"/>
      <c r="AL37" s="332"/>
      <c r="AM37" s="332"/>
      <c r="AN37" s="332"/>
      <c r="AO37" s="332"/>
      <c r="AP37" s="332"/>
      <c r="AQ37" s="332"/>
      <c r="AR37" s="333"/>
      <c r="AS37" s="316"/>
      <c r="AT37" s="317"/>
      <c r="AU37" s="317"/>
      <c r="AV37" s="317"/>
      <c r="AW37" s="317"/>
      <c r="AX37" s="317"/>
      <c r="AY37" s="317"/>
      <c r="AZ37" s="318"/>
      <c r="BA37" s="225"/>
      <c r="BB37" s="226"/>
      <c r="BC37" s="176"/>
      <c r="BD37" s="176"/>
      <c r="BE37" s="176"/>
      <c r="BF37" s="176"/>
      <c r="BG37" s="176"/>
      <c r="BH37" s="177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9"/>
      <c r="AL38" s="200"/>
      <c r="AM38" s="200"/>
      <c r="AN38" s="200"/>
      <c r="AO38" s="200"/>
      <c r="AP38" s="200"/>
      <c r="AQ38" s="200"/>
      <c r="AR38" s="201"/>
      <c r="AS38" s="180"/>
      <c r="AT38" s="181"/>
      <c r="AU38" s="181"/>
      <c r="AV38" s="181"/>
      <c r="AW38" s="181"/>
      <c r="AX38" s="181"/>
      <c r="AY38" s="181"/>
      <c r="AZ38" s="182"/>
      <c r="BA38" s="170"/>
      <c r="BB38" s="171"/>
      <c r="BC38" s="172"/>
      <c r="BD38" s="172"/>
      <c r="BE38" s="172"/>
      <c r="BF38" s="172"/>
      <c r="BG38" s="172"/>
      <c r="BH38" s="173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9"/>
      <c r="AL39" s="200"/>
      <c r="AM39" s="200"/>
      <c r="AN39" s="200"/>
      <c r="AO39" s="200"/>
      <c r="AP39" s="200"/>
      <c r="AQ39" s="200"/>
      <c r="AR39" s="201"/>
      <c r="AS39" s="180"/>
      <c r="AT39" s="181"/>
      <c r="AU39" s="181"/>
      <c r="AV39" s="181"/>
      <c r="AW39" s="181"/>
      <c r="AX39" s="181"/>
      <c r="AY39" s="181"/>
      <c r="AZ39" s="182"/>
      <c r="BA39" s="170"/>
      <c r="BB39" s="171"/>
      <c r="BC39" s="172"/>
      <c r="BD39" s="172"/>
      <c r="BE39" s="172"/>
      <c r="BF39" s="172"/>
      <c r="BG39" s="172"/>
      <c r="BH39" s="173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9"/>
      <c r="AL40" s="200"/>
      <c r="AM40" s="200"/>
      <c r="AN40" s="200"/>
      <c r="AO40" s="200"/>
      <c r="AP40" s="200"/>
      <c r="AQ40" s="200"/>
      <c r="AR40" s="201"/>
      <c r="AS40" s="180"/>
      <c r="AT40" s="181"/>
      <c r="AU40" s="181"/>
      <c r="AV40" s="181"/>
      <c r="AW40" s="181"/>
      <c r="AX40" s="181"/>
      <c r="AY40" s="181"/>
      <c r="AZ40" s="182"/>
      <c r="BA40" s="170"/>
      <c r="BB40" s="171"/>
      <c r="BC40" s="172"/>
      <c r="BD40" s="172"/>
      <c r="BE40" s="172"/>
      <c r="BF40" s="172"/>
      <c r="BG40" s="172"/>
      <c r="BH40" s="173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323"/>
      <c r="AL41" s="324"/>
      <c r="AM41" s="324"/>
      <c r="AN41" s="324"/>
      <c r="AO41" s="324"/>
      <c r="AP41" s="324"/>
      <c r="AQ41" s="324"/>
      <c r="AR41" s="325"/>
      <c r="AS41" s="313"/>
      <c r="AT41" s="314"/>
      <c r="AU41" s="314"/>
      <c r="AV41" s="314"/>
      <c r="AW41" s="314"/>
      <c r="AX41" s="314"/>
      <c r="AY41" s="314"/>
      <c r="AZ41" s="315"/>
      <c r="BA41" s="227"/>
      <c r="BB41" s="228"/>
      <c r="BC41" s="186"/>
      <c r="BD41" s="186"/>
      <c r="BE41" s="186"/>
      <c r="BF41" s="186"/>
      <c r="BG41" s="186"/>
      <c r="BH41" s="187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331"/>
      <c r="AL42" s="332"/>
      <c r="AM42" s="332"/>
      <c r="AN42" s="332"/>
      <c r="AO42" s="332"/>
      <c r="AP42" s="332"/>
      <c r="AQ42" s="332"/>
      <c r="AR42" s="333"/>
      <c r="AS42" s="316"/>
      <c r="AT42" s="317"/>
      <c r="AU42" s="317"/>
      <c r="AV42" s="317"/>
      <c r="AW42" s="317"/>
      <c r="AX42" s="317"/>
      <c r="AY42" s="317"/>
      <c r="AZ42" s="318"/>
      <c r="BA42" s="225"/>
      <c r="BB42" s="226"/>
      <c r="BC42" s="176"/>
      <c r="BD42" s="176"/>
      <c r="BE42" s="176"/>
      <c r="BF42" s="176"/>
      <c r="BG42" s="176"/>
      <c r="BH42" s="177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323"/>
      <c r="AL43" s="324"/>
      <c r="AM43" s="324"/>
      <c r="AN43" s="324"/>
      <c r="AO43" s="324"/>
      <c r="AP43" s="324"/>
      <c r="AQ43" s="324"/>
      <c r="AR43" s="325"/>
      <c r="AS43" s="313"/>
      <c r="AT43" s="314"/>
      <c r="AU43" s="314"/>
      <c r="AV43" s="314"/>
      <c r="AW43" s="314"/>
      <c r="AX43" s="314"/>
      <c r="AY43" s="314"/>
      <c r="AZ43" s="315"/>
      <c r="BA43" s="227"/>
      <c r="BB43" s="228"/>
      <c r="BC43" s="186"/>
      <c r="BD43" s="186"/>
      <c r="BE43" s="186"/>
      <c r="BF43" s="186"/>
      <c r="BG43" s="186"/>
      <c r="BH43" s="187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331"/>
      <c r="AL44" s="332"/>
      <c r="AM44" s="332"/>
      <c r="AN44" s="332"/>
      <c r="AO44" s="332"/>
      <c r="AP44" s="332"/>
      <c r="AQ44" s="332"/>
      <c r="AR44" s="333"/>
      <c r="AS44" s="316"/>
      <c r="AT44" s="317"/>
      <c r="AU44" s="317"/>
      <c r="AV44" s="317"/>
      <c r="AW44" s="317"/>
      <c r="AX44" s="317"/>
      <c r="AY44" s="317"/>
      <c r="AZ44" s="318"/>
      <c r="BA44" s="225"/>
      <c r="BB44" s="226"/>
      <c r="BC44" s="176"/>
      <c r="BD44" s="176"/>
      <c r="BE44" s="176"/>
      <c r="BF44" s="176"/>
      <c r="BG44" s="176"/>
      <c r="BH44" s="177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323"/>
      <c r="AL45" s="324"/>
      <c r="AM45" s="324"/>
      <c r="AN45" s="324"/>
      <c r="AO45" s="324"/>
      <c r="AP45" s="324"/>
      <c r="AQ45" s="324"/>
      <c r="AR45" s="325"/>
      <c r="AS45" s="313"/>
      <c r="AT45" s="314"/>
      <c r="AU45" s="314"/>
      <c r="AV45" s="314"/>
      <c r="AW45" s="314"/>
      <c r="AX45" s="314"/>
      <c r="AY45" s="314"/>
      <c r="AZ45" s="315"/>
      <c r="BA45" s="227"/>
      <c r="BB45" s="228"/>
      <c r="BC45" s="186"/>
      <c r="BD45" s="186"/>
      <c r="BE45" s="186"/>
      <c r="BF45" s="186"/>
      <c r="BG45" s="186"/>
      <c r="BH45" s="187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9"/>
      <c r="AL46" s="200"/>
      <c r="AM46" s="200"/>
      <c r="AN46" s="200"/>
      <c r="AO46" s="200"/>
      <c r="AP46" s="200"/>
      <c r="AQ46" s="200"/>
      <c r="AR46" s="201"/>
      <c r="AS46" s="180"/>
      <c r="AT46" s="181"/>
      <c r="AU46" s="181"/>
      <c r="AV46" s="181"/>
      <c r="AW46" s="181"/>
      <c r="AX46" s="181"/>
      <c r="AY46" s="181"/>
      <c r="AZ46" s="182"/>
      <c r="BA46" s="170"/>
      <c r="BB46" s="171"/>
      <c r="BC46" s="172"/>
      <c r="BD46" s="172"/>
      <c r="BE46" s="172"/>
      <c r="BF46" s="172"/>
      <c r="BG46" s="172"/>
      <c r="BH46" s="173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07" t="str">
        <f>IF(Doc_No="","",IF(BN23=TRUE,INDEX(WHT_Desc1,MATCH(Doc_No,WHT_Doc_No,0)),""))</f>
        <v/>
      </c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93"/>
      <c r="AK47" s="199"/>
      <c r="AL47" s="200"/>
      <c r="AM47" s="200"/>
      <c r="AN47" s="200"/>
      <c r="AO47" s="200"/>
      <c r="AP47" s="200"/>
      <c r="AQ47" s="200"/>
      <c r="AR47" s="201"/>
      <c r="AS47" s="180"/>
      <c r="AT47" s="181"/>
      <c r="AU47" s="181"/>
      <c r="AV47" s="181"/>
      <c r="AW47" s="181"/>
      <c r="AX47" s="181"/>
      <c r="AY47" s="181"/>
      <c r="AZ47" s="182"/>
      <c r="BA47" s="170"/>
      <c r="BB47" s="171"/>
      <c r="BC47" s="172"/>
      <c r="BD47" s="172"/>
      <c r="BE47" s="172"/>
      <c r="BF47" s="172"/>
      <c r="BG47" s="172"/>
      <c r="BH47" s="173"/>
      <c r="BI47" s="102"/>
    </row>
    <row r="48" spans="1:61" ht="15.95" customHeight="1" x14ac:dyDescent="0.5">
      <c r="A48" s="98"/>
      <c r="B48" s="242" t="s">
        <v>16</v>
      </c>
      <c r="C48" s="243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9"/>
      <c r="AL48" s="200"/>
      <c r="AM48" s="200"/>
      <c r="AN48" s="200"/>
      <c r="AO48" s="200"/>
      <c r="AP48" s="200"/>
      <c r="AQ48" s="200"/>
      <c r="AR48" s="201"/>
      <c r="AS48" s="180"/>
      <c r="AT48" s="181"/>
      <c r="AU48" s="181"/>
      <c r="AV48" s="181"/>
      <c r="AW48" s="181"/>
      <c r="AX48" s="181"/>
      <c r="AY48" s="181"/>
      <c r="AZ48" s="182"/>
      <c r="BA48" s="170"/>
      <c r="BB48" s="171"/>
      <c r="BC48" s="172"/>
      <c r="BD48" s="172"/>
      <c r="BE48" s="172"/>
      <c r="BF48" s="172"/>
      <c r="BG48" s="172"/>
      <c r="BH48" s="173"/>
      <c r="BI48" s="102"/>
    </row>
    <row r="49" spans="1:67" ht="15.95" customHeight="1" x14ac:dyDescent="0.5">
      <c r="A49" s="98"/>
      <c r="B49" s="242"/>
      <c r="C49" s="243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9"/>
      <c r="AL49" s="200"/>
      <c r="AM49" s="200"/>
      <c r="AN49" s="200"/>
      <c r="AO49" s="200"/>
      <c r="AP49" s="200"/>
      <c r="AQ49" s="200"/>
      <c r="AR49" s="201"/>
      <c r="AS49" s="180"/>
      <c r="AT49" s="181"/>
      <c r="AU49" s="181"/>
      <c r="AV49" s="181"/>
      <c r="AW49" s="181"/>
      <c r="AX49" s="181"/>
      <c r="AY49" s="181"/>
      <c r="AZ49" s="182"/>
      <c r="BA49" s="170"/>
      <c r="BB49" s="171"/>
      <c r="BC49" s="172"/>
      <c r="BD49" s="172"/>
      <c r="BE49" s="172"/>
      <c r="BF49" s="172"/>
      <c r="BG49" s="172"/>
      <c r="BH49" s="173"/>
      <c r="BI49" s="102"/>
    </row>
    <row r="50" spans="1:67" ht="15.95" customHeight="1" x14ac:dyDescent="0.5">
      <c r="A50" s="98"/>
      <c r="B50" s="242"/>
      <c r="C50" s="243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9"/>
      <c r="AL50" s="200"/>
      <c r="AM50" s="200"/>
      <c r="AN50" s="200"/>
      <c r="AO50" s="200"/>
      <c r="AP50" s="200"/>
      <c r="AQ50" s="200"/>
      <c r="AR50" s="201"/>
      <c r="AS50" s="180"/>
      <c r="AT50" s="181"/>
      <c r="AU50" s="181"/>
      <c r="AV50" s="181"/>
      <c r="AW50" s="181"/>
      <c r="AX50" s="181"/>
      <c r="AY50" s="181"/>
      <c r="AZ50" s="182"/>
      <c r="BA50" s="170"/>
      <c r="BB50" s="171"/>
      <c r="BC50" s="172"/>
      <c r="BD50" s="172"/>
      <c r="BE50" s="172"/>
      <c r="BF50" s="172"/>
      <c r="BG50" s="172"/>
      <c r="BH50" s="173"/>
      <c r="BI50" s="102"/>
    </row>
    <row r="51" spans="1:67" ht="15.95" customHeight="1" x14ac:dyDescent="0.5">
      <c r="A51" s="98"/>
      <c r="B51" s="242"/>
      <c r="C51" s="243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180"/>
      <c r="AT51" s="181"/>
      <c r="AU51" s="181"/>
      <c r="AV51" s="181"/>
      <c r="AW51" s="181"/>
      <c r="AX51" s="181"/>
      <c r="AY51" s="181"/>
      <c r="AZ51" s="181"/>
      <c r="BA51" s="170"/>
      <c r="BB51" s="171"/>
      <c r="BC51" s="172"/>
      <c r="BD51" s="172"/>
      <c r="BE51" s="172"/>
      <c r="BF51" s="172"/>
      <c r="BG51" s="172"/>
      <c r="BH51" s="173"/>
      <c r="BI51" s="102"/>
    </row>
    <row r="52" spans="1:67" ht="15.95" customHeight="1" x14ac:dyDescent="0.5">
      <c r="A52" s="98"/>
      <c r="B52" s="272">
        <v>6</v>
      </c>
      <c r="C52" s="273"/>
      <c r="D52" s="93" t="s">
        <v>125</v>
      </c>
      <c r="I52" s="254"/>
      <c r="J52" s="254"/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K52" s="331"/>
      <c r="AL52" s="332"/>
      <c r="AM52" s="332"/>
      <c r="AN52" s="332"/>
      <c r="AO52" s="332"/>
      <c r="AP52" s="332"/>
      <c r="AQ52" s="332"/>
      <c r="AR52" s="333"/>
      <c r="AS52" s="329"/>
      <c r="AT52" s="329"/>
      <c r="AU52" s="329"/>
      <c r="AV52" s="329"/>
      <c r="AW52" s="329"/>
      <c r="AX52" s="329"/>
      <c r="AY52" s="329"/>
      <c r="AZ52" s="180"/>
      <c r="BA52" s="225"/>
      <c r="BB52" s="226"/>
      <c r="BC52" s="176"/>
      <c r="BD52" s="176"/>
      <c r="BE52" s="176"/>
      <c r="BF52" s="176"/>
      <c r="BG52" s="176"/>
      <c r="BH52" s="177"/>
      <c r="BI52" s="102"/>
    </row>
    <row r="53" spans="1:67" ht="5.0999999999999996" customHeight="1" thickBot="1" x14ac:dyDescent="0.55000000000000004">
      <c r="A53" s="98"/>
      <c r="B53" s="252"/>
      <c r="C53" s="253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196"/>
      <c r="AM53" s="196"/>
      <c r="AN53" s="196"/>
      <c r="AO53" s="196"/>
      <c r="AP53" s="196"/>
      <c r="AQ53" s="196"/>
      <c r="AR53" s="198"/>
      <c r="AS53" s="258"/>
      <c r="AT53" s="247"/>
      <c r="AU53" s="247"/>
      <c r="AV53" s="247"/>
      <c r="AW53" s="247"/>
      <c r="AX53" s="247"/>
      <c r="AY53" s="247"/>
      <c r="AZ53" s="268"/>
      <c r="BA53" s="258"/>
      <c r="BB53" s="247"/>
      <c r="BC53" s="247"/>
      <c r="BD53" s="247"/>
      <c r="BE53" s="247"/>
      <c r="BF53" s="247"/>
      <c r="BG53" s="247"/>
      <c r="BH53" s="259"/>
      <c r="BI53" s="102"/>
    </row>
    <row r="54" spans="1:67" ht="18" customHeight="1" thickBot="1" x14ac:dyDescent="0.55000000000000004">
      <c r="A54" s="98"/>
      <c r="B54" s="248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/>
      <c r="W54" s="249"/>
      <c r="X54" s="249"/>
      <c r="Y54" s="249"/>
      <c r="Z54" s="249"/>
      <c r="AQ54" s="134" t="s">
        <v>20</v>
      </c>
      <c r="AR54" s="135"/>
      <c r="AS54" s="188">
        <v>26266.67</v>
      </c>
      <c r="AT54" s="189"/>
      <c r="AU54" s="189"/>
      <c r="AV54" s="189"/>
      <c r="AW54" s="189"/>
      <c r="AX54" s="189"/>
      <c r="AY54" s="189"/>
      <c r="AZ54" s="251"/>
      <c r="BA54" s="188">
        <v>0</v>
      </c>
      <c r="BB54" s="189"/>
      <c r="BC54" s="189"/>
      <c r="BD54" s="189"/>
      <c r="BE54" s="189"/>
      <c r="BF54" s="189"/>
      <c r="BG54" s="189"/>
      <c r="BH54" s="190"/>
      <c r="BI54" s="102"/>
    </row>
    <row r="55" spans="1:67" ht="5.0999999999999996" customHeight="1" thickTop="1" x14ac:dyDescent="0.5">
      <c r="A55" s="98"/>
      <c r="B55" s="248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  <c r="AH55" s="249"/>
      <c r="AI55" s="249"/>
      <c r="AJ55" s="249"/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49"/>
      <c r="BE55" s="249"/>
      <c r="BF55" s="249"/>
      <c r="BG55" s="249"/>
      <c r="BH55" s="250"/>
      <c r="BI55" s="102"/>
    </row>
    <row r="56" spans="1:67" ht="18" customHeight="1" x14ac:dyDescent="0.5">
      <c r="A56" s="98"/>
      <c r="B56" s="136" t="s">
        <v>37</v>
      </c>
      <c r="P56" s="261" t="s">
        <v>131</v>
      </c>
      <c r="Q56" s="262"/>
      <c r="R56" s="262"/>
      <c r="S56" s="262"/>
      <c r="T56" s="262"/>
      <c r="U56" s="262"/>
      <c r="V56" s="262"/>
      <c r="W56" s="262"/>
      <c r="X56" s="262"/>
      <c r="Y56" s="262"/>
      <c r="Z56" s="262"/>
      <c r="AA56" s="262"/>
      <c r="AB56" s="262"/>
      <c r="AC56" s="262"/>
      <c r="AD56" s="262"/>
      <c r="AE56" s="262"/>
      <c r="AF56" s="262"/>
      <c r="AG56" s="262"/>
      <c r="AH56" s="262"/>
      <c r="AI56" s="262"/>
      <c r="AJ56" s="262"/>
      <c r="AK56" s="262"/>
      <c r="AL56" s="262"/>
      <c r="AM56" s="262"/>
      <c r="AN56" s="262"/>
      <c r="AO56" s="262"/>
      <c r="AP56" s="262"/>
      <c r="AQ56" s="262"/>
      <c r="AR56" s="262"/>
      <c r="AS56" s="262"/>
      <c r="AT56" s="262"/>
      <c r="AU56" s="262"/>
      <c r="AV56" s="262"/>
      <c r="AW56" s="262"/>
      <c r="AX56" s="262"/>
      <c r="AY56" s="262"/>
      <c r="AZ56" s="262"/>
      <c r="BA56" s="262"/>
      <c r="BB56" s="262"/>
      <c r="BC56" s="262"/>
      <c r="BD56" s="262"/>
      <c r="BE56" s="262"/>
      <c r="BF56" s="262"/>
      <c r="BG56" s="263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15"/>
      <c r="Z58" s="215"/>
      <c r="AA58" s="215"/>
      <c r="AB58" s="215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330">
        <v>0</v>
      </c>
      <c r="AN58" s="330"/>
      <c r="AO58" s="330"/>
      <c r="AP58" s="330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15"/>
      <c r="BC58" s="215"/>
      <c r="BD58" s="215"/>
      <c r="BE58" s="215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52"/>
      <c r="C59" s="253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9"/>
      <c r="AM59" s="269"/>
      <c r="AN59" s="269"/>
      <c r="AO59" s="269"/>
      <c r="AP59" s="269"/>
      <c r="AQ59" s="269"/>
      <c r="AR59" s="269"/>
      <c r="AS59" s="247"/>
      <c r="AT59" s="247"/>
      <c r="AU59" s="247"/>
      <c r="AV59" s="247"/>
      <c r="AW59" s="247"/>
      <c r="AX59" s="247"/>
      <c r="AY59" s="247"/>
      <c r="AZ59" s="247"/>
      <c r="BA59" s="247"/>
      <c r="BB59" s="247"/>
      <c r="BC59" s="247"/>
      <c r="BD59" s="247"/>
      <c r="BE59" s="247"/>
      <c r="BF59" s="247"/>
      <c r="BG59" s="247"/>
      <c r="BH59" s="259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66"/>
      <c r="AW61" s="266"/>
      <c r="AX61" s="266"/>
      <c r="AY61" s="266"/>
      <c r="AZ61" s="266"/>
      <c r="BA61" s="266"/>
      <c r="BB61" s="266"/>
      <c r="BC61" s="266"/>
      <c r="BD61" s="266"/>
      <c r="BE61" s="266"/>
      <c r="BF61" s="266"/>
      <c r="BG61" s="266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52"/>
      <c r="C62" s="253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9"/>
      <c r="AM62" s="269"/>
      <c r="AN62" s="269"/>
      <c r="AO62" s="269"/>
      <c r="AP62" s="269"/>
      <c r="AQ62" s="269"/>
      <c r="AR62" s="269"/>
      <c r="AS62" s="247"/>
      <c r="AT62" s="247"/>
      <c r="AU62" s="247"/>
      <c r="AV62" s="247"/>
      <c r="AW62" s="247"/>
      <c r="AX62" s="247"/>
      <c r="AY62" s="247"/>
      <c r="AZ62" s="247"/>
      <c r="BA62" s="247"/>
      <c r="BB62" s="247"/>
      <c r="BC62" s="247"/>
      <c r="BD62" s="247"/>
      <c r="BE62" s="247"/>
      <c r="BF62" s="247"/>
      <c r="BG62" s="247"/>
      <c r="BH62" s="259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41"/>
      <c r="AH65" s="241"/>
      <c r="AI65" s="241"/>
      <c r="AJ65" s="241"/>
      <c r="AK65" s="241"/>
      <c r="AL65" s="241"/>
      <c r="AM65" s="241"/>
      <c r="AN65" s="241"/>
      <c r="AO65" s="241"/>
      <c r="AP65" s="241"/>
      <c r="AQ65" s="241"/>
      <c r="AR65" s="241"/>
      <c r="AS65" s="241"/>
      <c r="AT65" s="241"/>
      <c r="AU65" s="241"/>
      <c r="AV65" s="241"/>
      <c r="AW65" s="99" t="s">
        <v>21</v>
      </c>
      <c r="BH65" s="102"/>
      <c r="BI65" s="102"/>
    </row>
    <row r="66" spans="1:61" ht="15.95" customHeight="1" x14ac:dyDescent="0.5">
      <c r="A66" s="98"/>
      <c r="B66" s="239"/>
      <c r="C66" s="240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41"/>
      <c r="AH66" s="241"/>
      <c r="AI66" s="241"/>
      <c r="AJ66" s="241"/>
      <c r="AK66" s="241"/>
      <c r="AL66" s="241"/>
      <c r="AM66" s="241"/>
      <c r="AN66" s="241"/>
      <c r="AO66" s="241"/>
      <c r="AP66" s="241"/>
      <c r="AQ66" s="241"/>
      <c r="AR66" s="241"/>
      <c r="AS66" s="241"/>
      <c r="AT66" s="241"/>
      <c r="AU66" s="241"/>
      <c r="AV66" s="241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38" t="s">
        <v>128</v>
      </c>
      <c r="AJ67" s="238"/>
      <c r="AK67" s="238"/>
      <c r="AL67" s="238"/>
      <c r="AM67" s="238"/>
      <c r="AN67" s="238"/>
      <c r="AO67" s="238"/>
      <c r="AP67" s="238"/>
      <c r="AQ67" s="238"/>
      <c r="AR67" s="238"/>
      <c r="AS67" s="238"/>
      <c r="AT67" s="238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39"/>
      <c r="C68" s="240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335" t="s">
        <v>54</v>
      </c>
      <c r="AJ68" s="335"/>
      <c r="AK68" s="335"/>
      <c r="AL68" s="335"/>
      <c r="AM68" s="335"/>
      <c r="AN68" s="335"/>
      <c r="AO68" s="335"/>
      <c r="AP68" s="335"/>
      <c r="AQ68" s="335"/>
      <c r="AR68" s="335"/>
      <c r="AS68" s="33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237"/>
      <c r="C70" s="237"/>
      <c r="D70" s="237"/>
      <c r="E70" s="237"/>
      <c r="F70" s="237"/>
      <c r="G70" s="237"/>
      <c r="H70" s="237"/>
      <c r="I70" s="237"/>
      <c r="J70" s="237"/>
      <c r="K70" s="237"/>
      <c r="L70" s="237"/>
      <c r="M70" s="237"/>
      <c r="N70" s="23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306" t="s">
        <v>23</v>
      </c>
      <c r="L78" s="306"/>
      <c r="M78" s="306"/>
      <c r="N78" s="306"/>
      <c r="O78" s="306"/>
      <c r="P78" s="306"/>
      <c r="Q78" s="306"/>
      <c r="R78" s="306"/>
      <c r="S78" s="306"/>
      <c r="T78" s="306"/>
      <c r="U78" s="306"/>
      <c r="V78" s="306"/>
      <c r="W78" s="306"/>
      <c r="X78" s="306"/>
      <c r="Y78" s="306"/>
      <c r="Z78" s="306"/>
      <c r="AA78" s="306"/>
      <c r="AB78" s="306"/>
      <c r="AC78" s="306"/>
      <c r="AD78" s="306"/>
      <c r="AE78" s="306"/>
      <c r="AF78" s="306"/>
      <c r="AG78" s="306"/>
      <c r="AH78" s="306"/>
      <c r="AI78" s="306"/>
      <c r="AJ78" s="306"/>
      <c r="AK78" s="306"/>
      <c r="AL78" s="306"/>
      <c r="AM78" s="306"/>
      <c r="AN78" s="306"/>
      <c r="AO78" s="306"/>
      <c r="AP78" s="306"/>
      <c r="AQ78" s="306"/>
      <c r="AR78" s="306"/>
      <c r="AS78" s="306"/>
      <c r="AT78" s="306"/>
      <c r="AU78" s="306"/>
      <c r="AV78" s="306"/>
      <c r="AW78" s="306"/>
      <c r="AX78" s="306"/>
      <c r="AY78" s="306"/>
      <c r="AZ78" s="96" t="s">
        <v>56</v>
      </c>
      <c r="BA78" s="96"/>
      <c r="BB78" s="96"/>
      <c r="BC78" s="223"/>
      <c r="BD78" s="223"/>
      <c r="BE78" s="223"/>
      <c r="BF78" s="223"/>
      <c r="BG78" s="223"/>
      <c r="BH78" s="223"/>
      <c r="BI78" s="97"/>
    </row>
    <row r="79" spans="1:61" ht="15" customHeight="1" x14ac:dyDescent="0.5">
      <c r="A79" s="98"/>
      <c r="C79" s="100"/>
      <c r="K79" s="249" t="s">
        <v>57</v>
      </c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9"/>
      <c r="X79" s="249"/>
      <c r="Y79" s="249"/>
      <c r="Z79" s="249"/>
      <c r="AA79" s="249"/>
      <c r="AB79" s="249"/>
      <c r="AC79" s="249"/>
      <c r="AD79" s="249"/>
      <c r="AE79" s="249"/>
      <c r="AF79" s="249"/>
      <c r="AG79" s="249"/>
      <c r="AH79" s="249"/>
      <c r="AI79" s="249"/>
      <c r="AJ79" s="249"/>
      <c r="AK79" s="249"/>
      <c r="AL79" s="249"/>
      <c r="AM79" s="249"/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99" t="s">
        <v>2</v>
      </c>
      <c r="BC79" s="322">
        <f>BC5</f>
        <v>0</v>
      </c>
      <c r="BD79" s="322"/>
      <c r="BE79" s="322"/>
      <c r="BF79" s="322"/>
      <c r="BG79" s="322"/>
      <c r="BH79" s="322"/>
      <c r="BI79" s="102"/>
    </row>
    <row r="80" spans="1:61" ht="5.0999999999999996" customHeight="1" thickBot="1" x14ac:dyDescent="0.55000000000000004">
      <c r="A80" s="98"/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  <c r="N80" s="222"/>
      <c r="O80" s="222"/>
      <c r="P80" s="222"/>
      <c r="Q80" s="222"/>
      <c r="R80" s="222"/>
      <c r="S80" s="222"/>
      <c r="T80" s="222"/>
      <c r="U80" s="222"/>
      <c r="V80" s="222"/>
      <c r="W80" s="222"/>
      <c r="X80" s="222"/>
      <c r="Y80" s="222"/>
      <c r="Z80" s="222"/>
      <c r="AA80" s="222"/>
      <c r="AB80" s="222"/>
      <c r="AC80" s="222"/>
      <c r="AD80" s="222"/>
      <c r="AE80" s="222"/>
      <c r="AF80" s="222"/>
      <c r="AG80" s="222"/>
      <c r="AH80" s="222"/>
      <c r="AI80" s="222"/>
      <c r="AJ80" s="222"/>
      <c r="AK80" s="222"/>
      <c r="AL80" s="222"/>
      <c r="AM80" s="222"/>
      <c r="AN80" s="222"/>
      <c r="AO80" s="222"/>
      <c r="AP80" s="222"/>
      <c r="AQ80" s="222"/>
      <c r="AR80" s="222"/>
      <c r="AS80" s="222"/>
      <c r="AT80" s="222"/>
      <c r="AU80" s="222"/>
      <c r="AV80" s="222"/>
      <c r="AW80" s="222"/>
      <c r="AX80" s="222"/>
      <c r="AY80" s="222"/>
      <c r="AZ80" s="222"/>
      <c r="BA80" s="222"/>
      <c r="BB80" s="222"/>
      <c r="BC80" s="222"/>
      <c r="BD80" s="222"/>
      <c r="BE80" s="222"/>
      <c r="BF80" s="222"/>
      <c r="BG80" s="222"/>
      <c r="BH80" s="222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16">
        <f>AD8</f>
        <v>0</v>
      </c>
      <c r="AE82" s="217"/>
      <c r="AF82" s="166"/>
      <c r="AG82" s="213">
        <f>AG8</f>
        <v>2</v>
      </c>
      <c r="AH82" s="214"/>
      <c r="AI82" s="214">
        <f>AI8</f>
        <v>0</v>
      </c>
      <c r="AJ82" s="214"/>
      <c r="AK82" s="214">
        <f>AK8</f>
        <v>5</v>
      </c>
      <c r="AL82" s="214"/>
      <c r="AM82" s="214">
        <f>AM8</f>
        <v>5</v>
      </c>
      <c r="AN82" s="219"/>
      <c r="AO82" s="166"/>
      <c r="AP82" s="213">
        <f>AP8</f>
        <v>6</v>
      </c>
      <c r="AQ82" s="214"/>
      <c r="AR82" s="214">
        <f>AR8</f>
        <v>0</v>
      </c>
      <c r="AS82" s="214"/>
      <c r="AT82" s="214">
        <f>AT8</f>
        <v>0</v>
      </c>
      <c r="AU82" s="214"/>
      <c r="AV82" s="214">
        <f>AV8</f>
        <v>4</v>
      </c>
      <c r="AW82" s="214"/>
      <c r="AX82" s="214">
        <f>AX8</f>
        <v>0</v>
      </c>
      <c r="AY82" s="219"/>
      <c r="AZ82" s="166"/>
      <c r="BA82" s="213">
        <f>BA8</f>
        <v>5</v>
      </c>
      <c r="BB82" s="214"/>
      <c r="BC82" s="214">
        <f>BC8</f>
        <v>0</v>
      </c>
      <c r="BD82" s="219"/>
      <c r="BE82" s="166"/>
      <c r="BF82" s="216">
        <f>BF8</f>
        <v>7</v>
      </c>
      <c r="BG82" s="21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235" t="str">
        <f>D10</f>
        <v>บริษัท บลู เปเปอร์ จำกัด</v>
      </c>
      <c r="E84" s="235"/>
      <c r="F84" s="235"/>
      <c r="G84" s="235"/>
      <c r="H84" s="235"/>
      <c r="I84" s="235"/>
      <c r="J84" s="235"/>
      <c r="K84" s="235"/>
      <c r="L84" s="235"/>
      <c r="M84" s="235"/>
      <c r="N84" s="235"/>
      <c r="O84" s="235"/>
      <c r="P84" s="235"/>
      <c r="Q84" s="235"/>
      <c r="R84" s="235"/>
      <c r="S84" s="235"/>
      <c r="T84" s="235"/>
      <c r="U84" s="235"/>
      <c r="V84" s="235"/>
      <c r="W84" s="235"/>
      <c r="AI84" s="108" t="s">
        <v>3</v>
      </c>
      <c r="AK84" s="230"/>
      <c r="AL84" s="231"/>
      <c r="AM84" s="93"/>
      <c r="AN84" s="218"/>
      <c r="AO84" s="205"/>
      <c r="AP84" s="205"/>
      <c r="AQ84" s="205"/>
      <c r="AR84" s="205"/>
      <c r="AS84" s="205"/>
      <c r="AT84" s="205"/>
      <c r="AU84" s="208"/>
      <c r="AV84" s="93"/>
      <c r="AW84" s="218"/>
      <c r="AX84" s="205"/>
      <c r="AY84" s="205"/>
      <c r="AZ84" s="205"/>
      <c r="BA84" s="205"/>
      <c r="BB84" s="205"/>
      <c r="BC84" s="205"/>
      <c r="BD84" s="208"/>
      <c r="BE84" s="93"/>
      <c r="BF84" s="230"/>
      <c r="BG84" s="231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33">
        <f>D12</f>
        <v>0</v>
      </c>
      <c r="E86" s="233"/>
      <c r="F86" s="233"/>
      <c r="G86" s="233"/>
      <c r="H86" s="233"/>
      <c r="I86" s="233"/>
      <c r="J86" s="233"/>
      <c r="K86" s="233"/>
      <c r="L86" s="233"/>
      <c r="M86" s="233"/>
      <c r="N86" s="233"/>
      <c r="O86" s="233"/>
      <c r="P86" s="233"/>
      <c r="Q86" s="233"/>
      <c r="R86" s="233"/>
      <c r="S86" s="233"/>
      <c r="T86" s="233"/>
      <c r="U86" s="233"/>
      <c r="V86" s="233"/>
      <c r="W86" s="233"/>
      <c r="X86" s="233"/>
      <c r="Y86" s="233"/>
      <c r="Z86" s="233"/>
      <c r="AA86" s="233"/>
      <c r="AB86" s="233"/>
      <c r="AC86" s="233"/>
      <c r="AD86" s="233"/>
      <c r="AE86" s="233"/>
      <c r="AF86" s="233"/>
      <c r="AG86" s="233"/>
      <c r="AH86" s="233"/>
      <c r="AI86" s="233"/>
      <c r="AJ86" s="233"/>
      <c r="AK86" s="233"/>
      <c r="AL86" s="233"/>
      <c r="AM86" s="233"/>
      <c r="AN86" s="233"/>
      <c r="AO86" s="233"/>
      <c r="AP86" s="233"/>
      <c r="AQ86" s="233"/>
      <c r="AR86" s="233"/>
      <c r="AS86" s="233"/>
      <c r="AT86" s="233"/>
      <c r="AU86" s="233"/>
      <c r="AV86" s="233"/>
      <c r="AW86" s="233"/>
      <c r="AX86" s="233"/>
      <c r="AY86" s="233"/>
      <c r="AZ86" s="233"/>
      <c r="BA86" s="233"/>
      <c r="BB86" s="233"/>
      <c r="BC86" s="233"/>
      <c r="BD86" s="233"/>
      <c r="BE86" s="233"/>
      <c r="BF86" s="233"/>
      <c r="BG86" s="233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16">
        <f>AD16</f>
        <v>1</v>
      </c>
      <c r="AE90" s="217"/>
      <c r="AF90" s="166"/>
      <c r="AG90" s="213">
        <f>AG16</f>
        <v>7</v>
      </c>
      <c r="AH90" s="214"/>
      <c r="AI90" s="214">
        <f>AI16</f>
        <v>2</v>
      </c>
      <c r="AJ90" s="214"/>
      <c r="AK90" s="214">
        <f>AK16</f>
        <v>9</v>
      </c>
      <c r="AL90" s="214"/>
      <c r="AM90" s="214">
        <f>AM16</f>
        <v>8</v>
      </c>
      <c r="AN90" s="219"/>
      <c r="AO90" s="166"/>
      <c r="AP90" s="213">
        <f>AP16</f>
        <v>0</v>
      </c>
      <c r="AQ90" s="214"/>
      <c r="AR90" s="214">
        <f>AR16</f>
        <v>0</v>
      </c>
      <c r="AS90" s="214"/>
      <c r="AT90" s="214">
        <f>AT16</f>
        <v>2</v>
      </c>
      <c r="AU90" s="214"/>
      <c r="AV90" s="214">
        <f>AV16</f>
        <v>7</v>
      </c>
      <c r="AW90" s="214"/>
      <c r="AX90" s="214">
        <f>AX16</f>
        <v>0</v>
      </c>
      <c r="AY90" s="219"/>
      <c r="AZ90" s="166"/>
      <c r="BA90" s="213">
        <f>BA16</f>
        <v>2</v>
      </c>
      <c r="BB90" s="214"/>
      <c r="BC90" s="214">
        <f>BC16</f>
        <v>9</v>
      </c>
      <c r="BD90" s="219"/>
      <c r="BE90" s="166"/>
      <c r="BF90" s="216">
        <f>BF16</f>
        <v>1</v>
      </c>
      <c r="BG90" s="21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4" t="str">
        <f>D18</f>
        <v>นางสาวธิชารัตน์ วงษ์บัวงาม</v>
      </c>
      <c r="E92" s="234"/>
      <c r="F92" s="234"/>
      <c r="G92" s="234"/>
      <c r="H92" s="234"/>
      <c r="I92" s="234"/>
      <c r="J92" s="234"/>
      <c r="K92" s="234"/>
      <c r="L92" s="234"/>
      <c r="M92" s="234"/>
      <c r="N92" s="234"/>
      <c r="O92" s="234"/>
      <c r="P92" s="234"/>
      <c r="Q92" s="234"/>
      <c r="R92" s="234"/>
      <c r="S92" s="234"/>
      <c r="T92" s="234"/>
      <c r="U92" s="234"/>
      <c r="V92" s="234"/>
      <c r="W92" s="234"/>
      <c r="AI92" s="108" t="s">
        <v>3</v>
      </c>
      <c r="AK92" s="230"/>
      <c r="AL92" s="231"/>
      <c r="AM92" s="93"/>
      <c r="AN92" s="218"/>
      <c r="AO92" s="205"/>
      <c r="AP92" s="205"/>
      <c r="AQ92" s="205"/>
      <c r="AR92" s="205"/>
      <c r="AS92" s="205"/>
      <c r="AT92" s="205"/>
      <c r="AU92" s="208"/>
      <c r="AV92" s="93"/>
      <c r="AW92" s="218"/>
      <c r="AX92" s="205"/>
      <c r="AY92" s="205"/>
      <c r="AZ92" s="205"/>
      <c r="BA92" s="205"/>
      <c r="BB92" s="205"/>
      <c r="BC92" s="205"/>
      <c r="BD92" s="208"/>
      <c r="BE92" s="93"/>
      <c r="BF92" s="230"/>
      <c r="BG92" s="231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33" t="str">
        <f>D20</f>
        <v>อาคารไอ ที เอฟ ทาวเวอร์ ห้องเลขที่ - ชั้นที่ 25 เลขที่ 140/61 ถนนสีลม แขวงสุริยวงศ์ เขตบางรัก กรุงเทพมหานคร 10500</v>
      </c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  <c r="W94" s="233"/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  <c r="AR94" s="233"/>
      <c r="AS94" s="233"/>
      <c r="AT94" s="233"/>
      <c r="AU94" s="233"/>
      <c r="AV94" s="233"/>
      <c r="AW94" s="233"/>
      <c r="AX94" s="233"/>
      <c r="AY94" s="233"/>
      <c r="AZ94" s="233"/>
      <c r="BA94" s="233"/>
      <c r="BB94" s="233"/>
      <c r="BC94" s="233"/>
      <c r="BD94" s="233"/>
      <c r="BE94" s="233"/>
      <c r="BF94" s="233"/>
      <c r="BG94" s="233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230"/>
      <c r="G97" s="312"/>
      <c r="H97" s="312"/>
      <c r="I97" s="312"/>
      <c r="J97" s="231"/>
      <c r="L97" s="99" t="s">
        <v>4</v>
      </c>
      <c r="P97" s="119"/>
      <c r="Q97" s="119"/>
      <c r="R97" s="119"/>
      <c r="S97" s="119"/>
      <c r="Y97" s="206" t="s">
        <v>71</v>
      </c>
      <c r="Z97" s="206"/>
      <c r="AA97" s="206"/>
      <c r="AB97" s="206"/>
      <c r="AC97" s="206"/>
      <c r="AD97" s="206"/>
      <c r="AE97" s="206"/>
      <c r="AF97" s="206"/>
      <c r="AH97" s="206" t="s">
        <v>68</v>
      </c>
      <c r="AI97" s="206"/>
      <c r="AJ97" s="206"/>
      <c r="AK97" s="206"/>
      <c r="AL97" s="206"/>
      <c r="AM97" s="206"/>
      <c r="AN97" s="206"/>
      <c r="AO97" s="206"/>
      <c r="AP97" s="206"/>
      <c r="AR97" s="229" t="s">
        <v>66</v>
      </c>
      <c r="AS97" s="229"/>
      <c r="AT97" s="229"/>
      <c r="AU97" s="229"/>
      <c r="AV97" s="229"/>
      <c r="AW97" s="229"/>
      <c r="AX97" s="229"/>
      <c r="AY97" s="229"/>
      <c r="BA97" s="229" t="s">
        <v>65</v>
      </c>
      <c r="BB97" s="229"/>
      <c r="BC97" s="229"/>
      <c r="BD97" s="229"/>
      <c r="BE97" s="229"/>
      <c r="BF97" s="229"/>
      <c r="BG97" s="229"/>
      <c r="BH97" s="102"/>
      <c r="BI97" s="102"/>
    </row>
    <row r="98" spans="1:61" ht="5.0999999999999996" customHeight="1" x14ac:dyDescent="0.5">
      <c r="A98" s="98"/>
      <c r="B98" s="248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9"/>
      <c r="X98" s="249"/>
      <c r="Y98" s="249"/>
      <c r="Z98" s="249"/>
      <c r="AA98" s="249"/>
      <c r="AB98" s="249"/>
      <c r="AC98" s="249"/>
      <c r="AD98" s="249"/>
      <c r="AE98" s="249"/>
      <c r="AF98" s="249"/>
      <c r="AG98" s="249"/>
      <c r="AH98" s="249"/>
      <c r="AI98" s="249"/>
      <c r="AJ98" s="249"/>
      <c r="AK98" s="249"/>
      <c r="AL98" s="249"/>
      <c r="AM98" s="249"/>
      <c r="AN98" s="249"/>
      <c r="AO98" s="249"/>
      <c r="AP98" s="249"/>
      <c r="AQ98" s="249"/>
      <c r="AR98" s="249"/>
      <c r="AS98" s="249"/>
      <c r="AT98" s="249"/>
      <c r="AU98" s="249"/>
      <c r="AV98" s="249"/>
      <c r="AW98" s="249"/>
      <c r="AX98" s="249"/>
      <c r="AY98" s="249"/>
      <c r="AZ98" s="249"/>
      <c r="BA98" s="249"/>
      <c r="BB98" s="249"/>
      <c r="BC98" s="249"/>
      <c r="BD98" s="249"/>
      <c r="BE98" s="249"/>
      <c r="BF98" s="249"/>
      <c r="BG98" s="249"/>
      <c r="BH98" s="250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206" t="s">
        <v>70</v>
      </c>
      <c r="Z99" s="206"/>
      <c r="AA99" s="206"/>
      <c r="AB99" s="206"/>
      <c r="AC99" s="206"/>
      <c r="AD99" s="206"/>
      <c r="AE99" s="206"/>
      <c r="AF99" s="206"/>
      <c r="AH99" s="206" t="s">
        <v>69</v>
      </c>
      <c r="AI99" s="206"/>
      <c r="AJ99" s="206"/>
      <c r="AK99" s="206"/>
      <c r="AL99" s="206"/>
      <c r="AM99" s="206"/>
      <c r="AN99" s="206"/>
      <c r="AO99" s="206"/>
      <c r="AP99" s="206"/>
      <c r="AR99" s="229" t="s">
        <v>67</v>
      </c>
      <c r="AS99" s="229"/>
      <c r="AT99" s="229"/>
      <c r="AU99" s="229"/>
      <c r="AV99" s="229"/>
      <c r="AW99" s="229"/>
      <c r="AX99" s="229"/>
      <c r="AY99" s="229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206"/>
      <c r="Z100" s="206"/>
      <c r="AA100" s="206"/>
      <c r="AB100" s="206"/>
      <c r="AC100" s="206"/>
      <c r="AD100" s="206"/>
      <c r="AE100" s="206"/>
      <c r="AF100" s="206"/>
      <c r="AH100" s="206"/>
      <c r="AI100" s="206"/>
      <c r="AJ100" s="206"/>
      <c r="AK100" s="206"/>
      <c r="AL100" s="206"/>
      <c r="AM100" s="206"/>
      <c r="AN100" s="206"/>
      <c r="AO100" s="206"/>
      <c r="AP100" s="206"/>
      <c r="AQ100" s="120"/>
      <c r="AR100" s="229"/>
      <c r="AS100" s="229"/>
      <c r="AT100" s="229"/>
      <c r="AU100" s="229"/>
      <c r="AV100" s="229"/>
      <c r="AW100" s="229"/>
      <c r="AX100" s="229"/>
      <c r="AY100" s="229"/>
      <c r="BH100" s="102"/>
      <c r="BI100" s="102"/>
    </row>
    <row r="101" spans="1:61" ht="5.0999999999999996" customHeight="1" thickBot="1" x14ac:dyDescent="0.55000000000000004">
      <c r="A101" s="98"/>
      <c r="B101" s="195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6"/>
      <c r="W101" s="196"/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  <c r="AL101" s="196"/>
      <c r="AM101" s="196"/>
      <c r="AN101" s="196"/>
      <c r="AO101" s="196"/>
      <c r="AP101" s="196"/>
      <c r="AQ101" s="196"/>
      <c r="AR101" s="196"/>
      <c r="AS101" s="196"/>
      <c r="AT101" s="196"/>
      <c r="AU101" s="196"/>
      <c r="AV101" s="196"/>
      <c r="AW101" s="196"/>
      <c r="AX101" s="196"/>
      <c r="AY101" s="196"/>
      <c r="AZ101" s="196"/>
      <c r="BA101" s="196"/>
      <c r="BB101" s="196"/>
      <c r="BC101" s="196"/>
      <c r="BD101" s="196"/>
      <c r="BE101" s="196"/>
      <c r="BF101" s="196"/>
      <c r="BG101" s="196"/>
      <c r="BH101" s="197"/>
      <c r="BI101" s="102"/>
    </row>
    <row r="102" spans="1:61" ht="18" customHeight="1" x14ac:dyDescent="0.5">
      <c r="A102" s="98"/>
      <c r="B102" s="305" t="s">
        <v>29</v>
      </c>
      <c r="C102" s="306"/>
      <c r="D102" s="306"/>
      <c r="E102" s="306"/>
      <c r="F102" s="306"/>
      <c r="G102" s="306"/>
      <c r="H102" s="306"/>
      <c r="I102" s="306"/>
      <c r="J102" s="306"/>
      <c r="K102" s="306"/>
      <c r="L102" s="306"/>
      <c r="M102" s="306"/>
      <c r="N102" s="306"/>
      <c r="O102" s="306"/>
      <c r="P102" s="306"/>
      <c r="Q102" s="306"/>
      <c r="R102" s="306"/>
      <c r="S102" s="306"/>
      <c r="T102" s="306"/>
      <c r="U102" s="306"/>
      <c r="V102" s="306"/>
      <c r="W102" s="306"/>
      <c r="X102" s="306"/>
      <c r="Y102" s="306"/>
      <c r="Z102" s="306"/>
      <c r="AA102" s="306"/>
      <c r="AB102" s="306"/>
      <c r="AC102" s="306"/>
      <c r="AD102" s="306"/>
      <c r="AE102" s="306"/>
      <c r="AF102" s="306"/>
      <c r="AG102" s="306"/>
      <c r="AH102" s="306"/>
      <c r="AI102" s="306"/>
      <c r="AJ102" s="307"/>
      <c r="AK102" s="310" t="s">
        <v>10</v>
      </c>
      <c r="AL102" s="306"/>
      <c r="AM102" s="306"/>
      <c r="AN102" s="306"/>
      <c r="AO102" s="306"/>
      <c r="AP102" s="306"/>
      <c r="AQ102" s="306"/>
      <c r="AR102" s="307"/>
      <c r="AS102" s="310" t="s">
        <v>9</v>
      </c>
      <c r="AT102" s="306"/>
      <c r="AU102" s="306"/>
      <c r="AV102" s="306"/>
      <c r="AW102" s="306"/>
      <c r="AX102" s="306"/>
      <c r="AY102" s="306"/>
      <c r="AZ102" s="307"/>
      <c r="BA102" s="310" t="s">
        <v>7</v>
      </c>
      <c r="BB102" s="306"/>
      <c r="BC102" s="306"/>
      <c r="BD102" s="306"/>
      <c r="BE102" s="306"/>
      <c r="BF102" s="306"/>
      <c r="BG102" s="306"/>
      <c r="BH102" s="311"/>
      <c r="BI102" s="102"/>
    </row>
    <row r="103" spans="1:61" ht="18" customHeight="1" thickBot="1" x14ac:dyDescent="0.55000000000000004">
      <c r="A103" s="98"/>
      <c r="B103" s="308"/>
      <c r="C103" s="203"/>
      <c r="D103" s="203"/>
      <c r="E103" s="203"/>
      <c r="F103" s="203"/>
      <c r="G103" s="203"/>
      <c r="H103" s="203"/>
      <c r="I103" s="203"/>
      <c r="J103" s="203"/>
      <c r="K103" s="203"/>
      <c r="L103" s="203"/>
      <c r="M103" s="203"/>
      <c r="N103" s="203"/>
      <c r="O103" s="203"/>
      <c r="P103" s="203"/>
      <c r="Q103" s="203"/>
      <c r="R103" s="203"/>
      <c r="S103" s="203"/>
      <c r="T103" s="203"/>
      <c r="U103" s="203"/>
      <c r="V103" s="203"/>
      <c r="W103" s="203"/>
      <c r="X103" s="203"/>
      <c r="Y103" s="203"/>
      <c r="Z103" s="203"/>
      <c r="AA103" s="203"/>
      <c r="AB103" s="203"/>
      <c r="AC103" s="203"/>
      <c r="AD103" s="203"/>
      <c r="AE103" s="203"/>
      <c r="AF103" s="203"/>
      <c r="AG103" s="203"/>
      <c r="AH103" s="203"/>
      <c r="AI103" s="203"/>
      <c r="AJ103" s="309"/>
      <c r="AK103" s="202" t="s">
        <v>11</v>
      </c>
      <c r="AL103" s="203"/>
      <c r="AM103" s="203"/>
      <c r="AN103" s="203"/>
      <c r="AO103" s="203"/>
      <c r="AP103" s="203"/>
      <c r="AQ103" s="203"/>
      <c r="AR103" s="309"/>
      <c r="AS103" s="202"/>
      <c r="AT103" s="203"/>
      <c r="AU103" s="203"/>
      <c r="AV103" s="203"/>
      <c r="AW103" s="203"/>
      <c r="AX103" s="203"/>
      <c r="AY103" s="203"/>
      <c r="AZ103" s="309"/>
      <c r="BA103" s="202" t="s">
        <v>8</v>
      </c>
      <c r="BB103" s="203"/>
      <c r="BC103" s="203"/>
      <c r="BD103" s="203"/>
      <c r="BE103" s="203"/>
      <c r="BF103" s="203"/>
      <c r="BG103" s="203"/>
      <c r="BH103" s="204"/>
      <c r="BI103" s="102"/>
    </row>
    <row r="104" spans="1:61" ht="15.95" customHeight="1" x14ac:dyDescent="0.5">
      <c r="A104" s="98"/>
      <c r="B104" s="242" t="s">
        <v>12</v>
      </c>
      <c r="C104" s="243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99" t="str">
        <f>IF(AK30="","",AK30)</f>
        <v>31/12/2025</v>
      </c>
      <c r="AL104" s="300"/>
      <c r="AM104" s="300"/>
      <c r="AN104" s="300"/>
      <c r="AO104" s="300"/>
      <c r="AP104" s="300"/>
      <c r="AQ104" s="300"/>
      <c r="AR104" s="301"/>
      <c r="AS104" s="302">
        <f>IF(AS30="","",AS30)</f>
        <v>26266.67</v>
      </c>
      <c r="AT104" s="303"/>
      <c r="AU104" s="303"/>
      <c r="AV104" s="303"/>
      <c r="AW104" s="303"/>
      <c r="AX104" s="303"/>
      <c r="AY104" s="303"/>
      <c r="AZ104" s="304"/>
      <c r="BA104" s="296">
        <f>+BA30</f>
        <v>0</v>
      </c>
      <c r="BB104" s="297"/>
      <c r="BC104" s="297"/>
      <c r="BD104" s="297"/>
      <c r="BE104" s="297"/>
      <c r="BF104" s="297"/>
      <c r="BG104" s="297"/>
      <c r="BH104" s="298"/>
      <c r="BI104" s="102"/>
    </row>
    <row r="105" spans="1:61" ht="15.95" customHeight="1" x14ac:dyDescent="0.5">
      <c r="A105" s="98"/>
      <c r="B105" s="242" t="s">
        <v>13</v>
      </c>
      <c r="C105" s="243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244" t="str">
        <f>IF(AK31="","",AK31)</f>
        <v/>
      </c>
      <c r="AL105" s="245"/>
      <c r="AM105" s="245"/>
      <c r="AN105" s="245"/>
      <c r="AO105" s="245"/>
      <c r="AP105" s="245"/>
      <c r="AQ105" s="245"/>
      <c r="AR105" s="246"/>
      <c r="AS105" s="264" t="str">
        <f>IF(AS31="","",AS31)</f>
        <v/>
      </c>
      <c r="AT105" s="265"/>
      <c r="AU105" s="265"/>
      <c r="AV105" s="265"/>
      <c r="AW105" s="265"/>
      <c r="AX105" s="265"/>
      <c r="AY105" s="265"/>
      <c r="AZ105" s="276"/>
      <c r="BA105" s="193" t="str">
        <f>IF(BA31="","",BA31)</f>
        <v/>
      </c>
      <c r="BB105" s="194"/>
      <c r="BC105" s="191" t="str">
        <f>IF(BC31="","",BC31)</f>
        <v/>
      </c>
      <c r="BD105" s="191"/>
      <c r="BE105" s="191" t="str">
        <f t="shared" ref="BE105:BE122" si="0">IF(BE31="","",BE31)</f>
        <v/>
      </c>
      <c r="BF105" s="191"/>
      <c r="BG105" s="191" t="str">
        <f t="shared" ref="BG105:BG122" si="1">IF(BG31="","",BG31)</f>
        <v/>
      </c>
      <c r="BH105" s="192"/>
      <c r="BI105" s="102"/>
    </row>
    <row r="106" spans="1:61" ht="15.95" customHeight="1" x14ac:dyDescent="0.5">
      <c r="A106" s="98"/>
      <c r="B106" s="242" t="s">
        <v>14</v>
      </c>
      <c r="C106" s="243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244">
        <f>AK32</f>
        <v>0</v>
      </c>
      <c r="AL106" s="245"/>
      <c r="AM106" s="245"/>
      <c r="AN106" s="245"/>
      <c r="AO106" s="245"/>
      <c r="AP106" s="245"/>
      <c r="AQ106" s="245"/>
      <c r="AR106" s="246"/>
      <c r="AS106" s="264">
        <f>AS32</f>
        <v>0</v>
      </c>
      <c r="AT106" s="265"/>
      <c r="AU106" s="265"/>
      <c r="AV106" s="265"/>
      <c r="AW106" s="265"/>
      <c r="AX106" s="265"/>
      <c r="AY106" s="265"/>
      <c r="AZ106" s="276"/>
      <c r="BA106" s="193">
        <f>BA32</f>
        <v>0</v>
      </c>
      <c r="BB106" s="194"/>
      <c r="BC106" s="191">
        <f>BC32</f>
        <v>0</v>
      </c>
      <c r="BD106" s="191"/>
      <c r="BE106" s="191" t="str">
        <f t="shared" si="0"/>
        <v/>
      </c>
      <c r="BF106" s="191"/>
      <c r="BG106" s="191" t="str">
        <f t="shared" si="1"/>
        <v/>
      </c>
      <c r="BH106" s="192"/>
      <c r="BI106" s="102"/>
    </row>
    <row r="107" spans="1:61" ht="15.95" customHeight="1" x14ac:dyDescent="0.5">
      <c r="A107" s="98"/>
      <c r="B107" s="242" t="s">
        <v>15</v>
      </c>
      <c r="C107" s="243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244" t="str">
        <f>IF(AK33="","",AK33)</f>
        <v/>
      </c>
      <c r="AL107" s="245"/>
      <c r="AM107" s="245"/>
      <c r="AN107" s="245"/>
      <c r="AO107" s="245"/>
      <c r="AP107" s="245"/>
      <c r="AQ107" s="245"/>
      <c r="AR107" s="246"/>
      <c r="AS107" s="264" t="str">
        <f>IF(AS33="","",AS33)</f>
        <v/>
      </c>
      <c r="AT107" s="265"/>
      <c r="AU107" s="265"/>
      <c r="AV107" s="265"/>
      <c r="AW107" s="265"/>
      <c r="AX107" s="265"/>
      <c r="AY107" s="265"/>
      <c r="AZ107" s="276"/>
      <c r="BA107" s="193" t="str">
        <f t="shared" ref="BA107:BA122" si="2">IF(BA33="","",BA33)</f>
        <v/>
      </c>
      <c r="BB107" s="194"/>
      <c r="BC107" s="191" t="str">
        <f t="shared" ref="BC107:BC122" si="3">IF(BC33="","",BC33)</f>
        <v/>
      </c>
      <c r="BD107" s="191"/>
      <c r="BE107" s="191" t="str">
        <f t="shared" si="0"/>
        <v/>
      </c>
      <c r="BF107" s="191"/>
      <c r="BG107" s="191" t="str">
        <f t="shared" si="1"/>
        <v/>
      </c>
      <c r="BH107" s="192"/>
      <c r="BI107" s="102"/>
    </row>
    <row r="108" spans="1:61" ht="15.95" customHeight="1" x14ac:dyDescent="0.5">
      <c r="A108" s="98"/>
      <c r="B108" s="242"/>
      <c r="C108" s="243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0"/>
      <c r="AL108" s="281"/>
      <c r="AM108" s="281"/>
      <c r="AN108" s="281"/>
      <c r="AO108" s="281"/>
      <c r="AP108" s="281"/>
      <c r="AQ108" s="281"/>
      <c r="AR108" s="282"/>
      <c r="AS108" s="277"/>
      <c r="AT108" s="278"/>
      <c r="AU108" s="278"/>
      <c r="AV108" s="278"/>
      <c r="AW108" s="278"/>
      <c r="AX108" s="278"/>
      <c r="AY108" s="278"/>
      <c r="AZ108" s="279"/>
      <c r="BA108" s="283" t="str">
        <f t="shared" si="2"/>
        <v/>
      </c>
      <c r="BB108" s="284"/>
      <c r="BC108" s="285" t="str">
        <f t="shared" si="3"/>
        <v/>
      </c>
      <c r="BD108" s="285"/>
      <c r="BE108" s="285" t="str">
        <f t="shared" si="0"/>
        <v/>
      </c>
      <c r="BF108" s="285"/>
      <c r="BG108" s="285" t="str">
        <f t="shared" si="1"/>
        <v/>
      </c>
      <c r="BH108" s="286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87"/>
      <c r="AL109" s="288"/>
      <c r="AM109" s="288"/>
      <c r="AN109" s="288"/>
      <c r="AO109" s="288"/>
      <c r="AP109" s="288"/>
      <c r="AQ109" s="288"/>
      <c r="AR109" s="289"/>
      <c r="AS109" s="290"/>
      <c r="AT109" s="291"/>
      <c r="AU109" s="291"/>
      <c r="AV109" s="291"/>
      <c r="AW109" s="291"/>
      <c r="AX109" s="291"/>
      <c r="AY109" s="291"/>
      <c r="AZ109" s="292"/>
      <c r="BA109" s="209" t="str">
        <f t="shared" si="2"/>
        <v/>
      </c>
      <c r="BB109" s="210"/>
      <c r="BC109" s="211" t="str">
        <f t="shared" si="3"/>
        <v/>
      </c>
      <c r="BD109" s="211"/>
      <c r="BE109" s="211" t="str">
        <f t="shared" si="0"/>
        <v/>
      </c>
      <c r="BF109" s="211"/>
      <c r="BG109" s="211" t="str">
        <f t="shared" si="1"/>
        <v/>
      </c>
      <c r="BH109" s="212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87"/>
      <c r="AL110" s="288"/>
      <c r="AM110" s="288"/>
      <c r="AN110" s="288"/>
      <c r="AO110" s="288"/>
      <c r="AP110" s="288"/>
      <c r="AQ110" s="288"/>
      <c r="AR110" s="289"/>
      <c r="AS110" s="290"/>
      <c r="AT110" s="291"/>
      <c r="AU110" s="291"/>
      <c r="AV110" s="291"/>
      <c r="AW110" s="291"/>
      <c r="AX110" s="291"/>
      <c r="AY110" s="291"/>
      <c r="AZ110" s="292"/>
      <c r="BA110" s="209" t="str">
        <f t="shared" si="2"/>
        <v/>
      </c>
      <c r="BB110" s="210"/>
      <c r="BC110" s="211" t="str">
        <f t="shared" si="3"/>
        <v/>
      </c>
      <c r="BD110" s="211"/>
      <c r="BE110" s="211" t="str">
        <f t="shared" si="0"/>
        <v/>
      </c>
      <c r="BF110" s="211"/>
      <c r="BG110" s="211" t="str">
        <f t="shared" si="1"/>
        <v/>
      </c>
      <c r="BH110" s="212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255" t="str">
        <f>IF(AK37="","",AK37)</f>
        <v/>
      </c>
      <c r="AL111" s="256"/>
      <c r="AM111" s="256"/>
      <c r="AN111" s="256"/>
      <c r="AO111" s="256"/>
      <c r="AP111" s="256"/>
      <c r="AQ111" s="256"/>
      <c r="AR111" s="257"/>
      <c r="AS111" s="293" t="str">
        <f>IF(AS37="","",AS37)</f>
        <v/>
      </c>
      <c r="AT111" s="294"/>
      <c r="AU111" s="294"/>
      <c r="AV111" s="294"/>
      <c r="AW111" s="294"/>
      <c r="AX111" s="294"/>
      <c r="AY111" s="294"/>
      <c r="AZ111" s="295"/>
      <c r="BA111" s="270" t="str">
        <f t="shared" si="2"/>
        <v/>
      </c>
      <c r="BB111" s="271"/>
      <c r="BC111" s="274" t="str">
        <f t="shared" si="3"/>
        <v/>
      </c>
      <c r="BD111" s="274"/>
      <c r="BE111" s="274" t="str">
        <f t="shared" si="0"/>
        <v/>
      </c>
      <c r="BF111" s="274"/>
      <c r="BG111" s="274" t="str">
        <f t="shared" si="1"/>
        <v/>
      </c>
      <c r="BH111" s="275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244" t="str">
        <f>IF(AK38="","",AK38)</f>
        <v/>
      </c>
      <c r="AL112" s="245"/>
      <c r="AM112" s="245"/>
      <c r="AN112" s="245"/>
      <c r="AO112" s="245"/>
      <c r="AP112" s="245"/>
      <c r="AQ112" s="245"/>
      <c r="AR112" s="246"/>
      <c r="AS112" s="264" t="str">
        <f>IF(AS38="","",AS38)</f>
        <v/>
      </c>
      <c r="AT112" s="265"/>
      <c r="AU112" s="265"/>
      <c r="AV112" s="265"/>
      <c r="AW112" s="265"/>
      <c r="AX112" s="265"/>
      <c r="AY112" s="265"/>
      <c r="AZ112" s="276"/>
      <c r="BA112" s="193" t="str">
        <f t="shared" si="2"/>
        <v/>
      </c>
      <c r="BB112" s="194"/>
      <c r="BC112" s="191" t="str">
        <f t="shared" si="3"/>
        <v/>
      </c>
      <c r="BD112" s="191"/>
      <c r="BE112" s="191" t="str">
        <f t="shared" si="0"/>
        <v/>
      </c>
      <c r="BF112" s="191"/>
      <c r="BG112" s="191" t="str">
        <f t="shared" si="1"/>
        <v/>
      </c>
      <c r="BH112" s="192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244" t="str">
        <f>IF(AK39="","",AK39)</f>
        <v/>
      </c>
      <c r="AL113" s="245"/>
      <c r="AM113" s="245"/>
      <c r="AN113" s="245"/>
      <c r="AO113" s="245"/>
      <c r="AP113" s="245"/>
      <c r="AQ113" s="245"/>
      <c r="AR113" s="246"/>
      <c r="AS113" s="264" t="str">
        <f>IF(AS39="","",AS39)</f>
        <v/>
      </c>
      <c r="AT113" s="265"/>
      <c r="AU113" s="265"/>
      <c r="AV113" s="265"/>
      <c r="AW113" s="265"/>
      <c r="AX113" s="265"/>
      <c r="AY113" s="265"/>
      <c r="AZ113" s="276"/>
      <c r="BA113" s="193" t="str">
        <f t="shared" si="2"/>
        <v/>
      </c>
      <c r="BB113" s="194"/>
      <c r="BC113" s="191" t="str">
        <f t="shared" si="3"/>
        <v/>
      </c>
      <c r="BD113" s="191"/>
      <c r="BE113" s="191" t="str">
        <f t="shared" si="0"/>
        <v/>
      </c>
      <c r="BF113" s="191"/>
      <c r="BG113" s="191" t="str">
        <f t="shared" si="1"/>
        <v/>
      </c>
      <c r="BH113" s="192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244" t="str">
        <f>IF(AK40="","",AK40)</f>
        <v/>
      </c>
      <c r="AL114" s="245"/>
      <c r="AM114" s="245"/>
      <c r="AN114" s="245"/>
      <c r="AO114" s="245"/>
      <c r="AP114" s="245"/>
      <c r="AQ114" s="245"/>
      <c r="AR114" s="246"/>
      <c r="AS114" s="264" t="str">
        <f>IF(AS40="","",AS40)</f>
        <v/>
      </c>
      <c r="AT114" s="265"/>
      <c r="AU114" s="265"/>
      <c r="AV114" s="265"/>
      <c r="AW114" s="265"/>
      <c r="AX114" s="265"/>
      <c r="AY114" s="265"/>
      <c r="AZ114" s="276"/>
      <c r="BA114" s="193" t="str">
        <f t="shared" si="2"/>
        <v/>
      </c>
      <c r="BB114" s="194"/>
      <c r="BC114" s="191" t="str">
        <f t="shared" si="3"/>
        <v/>
      </c>
      <c r="BD114" s="191"/>
      <c r="BE114" s="191" t="str">
        <f t="shared" si="0"/>
        <v/>
      </c>
      <c r="BF114" s="191"/>
      <c r="BG114" s="191" t="str">
        <f t="shared" si="1"/>
        <v/>
      </c>
      <c r="BH114" s="192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0"/>
      <c r="AL115" s="281"/>
      <c r="AM115" s="281"/>
      <c r="AN115" s="281"/>
      <c r="AO115" s="281"/>
      <c r="AP115" s="281"/>
      <c r="AQ115" s="281"/>
      <c r="AR115" s="282"/>
      <c r="AS115" s="277"/>
      <c r="AT115" s="278"/>
      <c r="AU115" s="278"/>
      <c r="AV115" s="278"/>
      <c r="AW115" s="278"/>
      <c r="AX115" s="278"/>
      <c r="AY115" s="278"/>
      <c r="AZ115" s="279"/>
      <c r="BA115" s="283" t="str">
        <f t="shared" si="2"/>
        <v/>
      </c>
      <c r="BB115" s="284"/>
      <c r="BC115" s="285" t="str">
        <f t="shared" si="3"/>
        <v/>
      </c>
      <c r="BD115" s="285"/>
      <c r="BE115" s="285" t="str">
        <f t="shared" si="0"/>
        <v/>
      </c>
      <c r="BF115" s="285"/>
      <c r="BG115" s="285" t="str">
        <f t="shared" si="1"/>
        <v/>
      </c>
      <c r="BH115" s="286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255" t="str">
        <f>IF(AK42="","",AK42)</f>
        <v/>
      </c>
      <c r="AL116" s="256"/>
      <c r="AM116" s="256"/>
      <c r="AN116" s="256"/>
      <c r="AO116" s="256"/>
      <c r="AP116" s="256"/>
      <c r="AQ116" s="256"/>
      <c r="AR116" s="257"/>
      <c r="AS116" s="293" t="str">
        <f>IF(AS42="","",AS42)</f>
        <v/>
      </c>
      <c r="AT116" s="294"/>
      <c r="AU116" s="294"/>
      <c r="AV116" s="294"/>
      <c r="AW116" s="294"/>
      <c r="AX116" s="294"/>
      <c r="AY116" s="294"/>
      <c r="AZ116" s="295"/>
      <c r="BA116" s="270" t="str">
        <f t="shared" si="2"/>
        <v/>
      </c>
      <c r="BB116" s="271"/>
      <c r="BC116" s="274" t="str">
        <f t="shared" si="3"/>
        <v/>
      </c>
      <c r="BD116" s="274"/>
      <c r="BE116" s="274" t="str">
        <f t="shared" si="0"/>
        <v/>
      </c>
      <c r="BF116" s="274"/>
      <c r="BG116" s="274" t="str">
        <f t="shared" si="1"/>
        <v/>
      </c>
      <c r="BH116" s="275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0"/>
      <c r="AL117" s="281"/>
      <c r="AM117" s="281"/>
      <c r="AN117" s="281"/>
      <c r="AO117" s="281"/>
      <c r="AP117" s="281"/>
      <c r="AQ117" s="281"/>
      <c r="AR117" s="282"/>
      <c r="AS117" s="277"/>
      <c r="AT117" s="278"/>
      <c r="AU117" s="278"/>
      <c r="AV117" s="278"/>
      <c r="AW117" s="278"/>
      <c r="AX117" s="278"/>
      <c r="AY117" s="278"/>
      <c r="AZ117" s="279"/>
      <c r="BA117" s="283" t="str">
        <f t="shared" si="2"/>
        <v/>
      </c>
      <c r="BB117" s="284"/>
      <c r="BC117" s="285" t="str">
        <f t="shared" si="3"/>
        <v/>
      </c>
      <c r="BD117" s="285"/>
      <c r="BE117" s="285" t="str">
        <f t="shared" si="0"/>
        <v/>
      </c>
      <c r="BF117" s="285"/>
      <c r="BG117" s="285" t="str">
        <f t="shared" si="1"/>
        <v/>
      </c>
      <c r="BH117" s="286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255" t="str">
        <f>IF(AK44="","",AK44)</f>
        <v/>
      </c>
      <c r="AL118" s="256"/>
      <c r="AM118" s="256"/>
      <c r="AN118" s="256"/>
      <c r="AO118" s="256"/>
      <c r="AP118" s="256"/>
      <c r="AQ118" s="256"/>
      <c r="AR118" s="257"/>
      <c r="AS118" s="293" t="str">
        <f>IF(AS44="","",AS44)</f>
        <v/>
      </c>
      <c r="AT118" s="294"/>
      <c r="AU118" s="294"/>
      <c r="AV118" s="294"/>
      <c r="AW118" s="294"/>
      <c r="AX118" s="294"/>
      <c r="AY118" s="294"/>
      <c r="AZ118" s="295"/>
      <c r="BA118" s="270" t="str">
        <f t="shared" si="2"/>
        <v/>
      </c>
      <c r="BB118" s="271"/>
      <c r="BC118" s="274" t="str">
        <f t="shared" si="3"/>
        <v/>
      </c>
      <c r="BD118" s="274"/>
      <c r="BE118" s="274" t="str">
        <f t="shared" si="0"/>
        <v/>
      </c>
      <c r="BF118" s="274"/>
      <c r="BG118" s="274" t="str">
        <f t="shared" si="1"/>
        <v/>
      </c>
      <c r="BH118" s="275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0"/>
      <c r="AL119" s="281"/>
      <c r="AM119" s="281"/>
      <c r="AN119" s="281"/>
      <c r="AO119" s="281"/>
      <c r="AP119" s="281"/>
      <c r="AQ119" s="281"/>
      <c r="AR119" s="282"/>
      <c r="AS119" s="277"/>
      <c r="AT119" s="278"/>
      <c r="AU119" s="278"/>
      <c r="AV119" s="278"/>
      <c r="AW119" s="278"/>
      <c r="AX119" s="278"/>
      <c r="AY119" s="278"/>
      <c r="AZ119" s="279"/>
      <c r="BA119" s="283" t="str">
        <f t="shared" si="2"/>
        <v/>
      </c>
      <c r="BB119" s="284"/>
      <c r="BC119" s="285" t="str">
        <f t="shared" si="3"/>
        <v/>
      </c>
      <c r="BD119" s="285"/>
      <c r="BE119" s="285" t="str">
        <f t="shared" si="0"/>
        <v/>
      </c>
      <c r="BF119" s="285"/>
      <c r="BG119" s="285" t="str">
        <f t="shared" si="1"/>
        <v/>
      </c>
      <c r="BH119" s="286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244" t="str">
        <f>IF(AK46="","",AK46)</f>
        <v/>
      </c>
      <c r="AL120" s="245"/>
      <c r="AM120" s="245"/>
      <c r="AN120" s="245"/>
      <c r="AO120" s="245"/>
      <c r="AP120" s="245"/>
      <c r="AQ120" s="245"/>
      <c r="AR120" s="246"/>
      <c r="AS120" s="264" t="str">
        <f>IF(AS46="","",AS46)</f>
        <v/>
      </c>
      <c r="AT120" s="265"/>
      <c r="AU120" s="265"/>
      <c r="AV120" s="265"/>
      <c r="AW120" s="265"/>
      <c r="AX120" s="265"/>
      <c r="AY120" s="265"/>
      <c r="AZ120" s="276"/>
      <c r="BA120" s="193" t="str">
        <f t="shared" si="2"/>
        <v/>
      </c>
      <c r="BB120" s="194"/>
      <c r="BC120" s="191" t="str">
        <f t="shared" si="3"/>
        <v/>
      </c>
      <c r="BD120" s="191"/>
      <c r="BE120" s="191" t="str">
        <f t="shared" si="0"/>
        <v/>
      </c>
      <c r="BF120" s="191"/>
      <c r="BG120" s="191" t="str">
        <f t="shared" si="1"/>
        <v/>
      </c>
      <c r="BH120" s="192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07" t="str">
        <f>N47</f>
        <v/>
      </c>
      <c r="O121" s="207"/>
      <c r="P121" s="207"/>
      <c r="Q121" s="207"/>
      <c r="R121" s="207"/>
      <c r="S121" s="207"/>
      <c r="T121" s="207"/>
      <c r="U121" s="207"/>
      <c r="V121" s="207"/>
      <c r="W121" s="207"/>
      <c r="X121" s="207"/>
      <c r="Y121" s="207"/>
      <c r="Z121" s="207"/>
      <c r="AA121" s="207"/>
      <c r="AB121" s="207"/>
      <c r="AC121" s="207"/>
      <c r="AD121" s="207"/>
      <c r="AE121" s="207"/>
      <c r="AF121" s="207"/>
      <c r="AG121" s="207"/>
      <c r="AH121" s="207"/>
      <c r="AI121" s="207"/>
      <c r="AJ121" s="165"/>
      <c r="AK121" s="244" t="str">
        <f>IF(AK47="","",AK47)</f>
        <v/>
      </c>
      <c r="AL121" s="245"/>
      <c r="AM121" s="245"/>
      <c r="AN121" s="245"/>
      <c r="AO121" s="245"/>
      <c r="AP121" s="245"/>
      <c r="AQ121" s="245"/>
      <c r="AR121" s="246"/>
      <c r="AS121" s="264" t="str">
        <f>IF(AS47="","",AS47)</f>
        <v/>
      </c>
      <c r="AT121" s="265"/>
      <c r="AU121" s="265"/>
      <c r="AV121" s="265"/>
      <c r="AW121" s="265"/>
      <c r="AX121" s="265"/>
      <c r="AY121" s="265"/>
      <c r="AZ121" s="276"/>
      <c r="BA121" s="193" t="str">
        <f t="shared" si="2"/>
        <v/>
      </c>
      <c r="BB121" s="194"/>
      <c r="BC121" s="191" t="str">
        <f t="shared" si="3"/>
        <v/>
      </c>
      <c r="BD121" s="191"/>
      <c r="BE121" s="191" t="str">
        <f t="shared" si="0"/>
        <v/>
      </c>
      <c r="BF121" s="191"/>
      <c r="BG121" s="191" t="str">
        <f t="shared" si="1"/>
        <v/>
      </c>
      <c r="BH121" s="192"/>
      <c r="BI121" s="102"/>
    </row>
    <row r="122" spans="1:89" ht="15.95" customHeight="1" x14ac:dyDescent="0.5">
      <c r="A122" s="98"/>
      <c r="B122" s="242" t="s">
        <v>16</v>
      </c>
      <c r="C122" s="243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244"/>
      <c r="AL122" s="245"/>
      <c r="AM122" s="245"/>
      <c r="AN122" s="245"/>
      <c r="AO122" s="245"/>
      <c r="AP122" s="245"/>
      <c r="AQ122" s="245"/>
      <c r="AR122" s="246"/>
      <c r="AS122" s="264"/>
      <c r="AT122" s="265"/>
      <c r="AU122" s="265"/>
      <c r="AV122" s="265"/>
      <c r="AW122" s="265"/>
      <c r="AX122" s="265"/>
      <c r="AY122" s="265"/>
      <c r="AZ122" s="276"/>
      <c r="BA122" s="193" t="str">
        <f t="shared" si="2"/>
        <v/>
      </c>
      <c r="BB122" s="194"/>
      <c r="BC122" s="191" t="str">
        <f t="shared" si="3"/>
        <v/>
      </c>
      <c r="BD122" s="191"/>
      <c r="BE122" s="191" t="str">
        <f t="shared" si="0"/>
        <v/>
      </c>
      <c r="BF122" s="191"/>
      <c r="BG122" s="191" t="str">
        <f t="shared" si="1"/>
        <v/>
      </c>
      <c r="BH122" s="192"/>
      <c r="BI122" s="102"/>
    </row>
    <row r="123" spans="1:89" ht="15.95" customHeight="1" x14ac:dyDescent="0.5">
      <c r="A123" s="98"/>
      <c r="B123" s="242"/>
      <c r="C123" s="243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244"/>
      <c r="AL123" s="245"/>
      <c r="AM123" s="245"/>
      <c r="AN123" s="245"/>
      <c r="AO123" s="245"/>
      <c r="AP123" s="245"/>
      <c r="AQ123" s="245"/>
      <c r="AR123" s="246"/>
      <c r="AS123" s="264"/>
      <c r="AT123" s="265"/>
      <c r="AU123" s="265"/>
      <c r="AV123" s="265"/>
      <c r="AW123" s="265"/>
      <c r="AX123" s="265"/>
      <c r="AY123" s="265"/>
      <c r="AZ123" s="276"/>
      <c r="BA123" s="193"/>
      <c r="BB123" s="194"/>
      <c r="BC123" s="191"/>
      <c r="BD123" s="191"/>
      <c r="BE123" s="191"/>
      <c r="BF123" s="191"/>
      <c r="BG123" s="191"/>
      <c r="BH123" s="192"/>
      <c r="BI123" s="102"/>
    </row>
    <row r="124" spans="1:89" ht="15.95" customHeight="1" x14ac:dyDescent="0.5">
      <c r="A124" s="98"/>
      <c r="B124" s="242"/>
      <c r="C124" s="243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244"/>
      <c r="AL124" s="245"/>
      <c r="AM124" s="245"/>
      <c r="AN124" s="245"/>
      <c r="AO124" s="245"/>
      <c r="AP124" s="245"/>
      <c r="AQ124" s="245"/>
      <c r="AR124" s="246"/>
      <c r="AS124" s="264"/>
      <c r="AT124" s="265"/>
      <c r="AU124" s="265"/>
      <c r="AV124" s="265"/>
      <c r="AW124" s="265"/>
      <c r="AX124" s="265"/>
      <c r="AY124" s="265"/>
      <c r="AZ124" s="265"/>
      <c r="BA124" s="193" t="str">
        <f>IF(BA50="","",BA50)</f>
        <v/>
      </c>
      <c r="BB124" s="194"/>
      <c r="BC124" s="191" t="str">
        <f>IF(BC50="","",BC50)</f>
        <v/>
      </c>
      <c r="BD124" s="191"/>
      <c r="BE124" s="191" t="str">
        <f>IF(BE50="","",BE50)</f>
        <v/>
      </c>
      <c r="BF124" s="191"/>
      <c r="BG124" s="191" t="str">
        <f>IF(BG50="","",BG50)</f>
        <v/>
      </c>
      <c r="BH124" s="192"/>
      <c r="BI124" s="102"/>
    </row>
    <row r="125" spans="1:89" ht="15.95" customHeight="1" x14ac:dyDescent="0.5">
      <c r="A125" s="98"/>
      <c r="B125" s="242"/>
      <c r="C125" s="243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267" t="str">
        <f>IF(AS51="","",AS51)</f>
        <v/>
      </c>
      <c r="AT125" s="267"/>
      <c r="AU125" s="267"/>
      <c r="AV125" s="267"/>
      <c r="AW125" s="267"/>
      <c r="AX125" s="267"/>
      <c r="AY125" s="267"/>
      <c r="AZ125" s="264"/>
      <c r="BA125" s="193" t="str">
        <f>IF(BA51="","",BA51)</f>
        <v/>
      </c>
      <c r="BB125" s="194"/>
      <c r="BC125" s="191" t="str">
        <f>IF(BC51="","",BC51)</f>
        <v/>
      </c>
      <c r="BD125" s="191"/>
      <c r="BE125" s="191" t="str">
        <f>IF(BE51="","",BE51)</f>
        <v/>
      </c>
      <c r="BF125" s="191"/>
      <c r="BG125" s="191" t="str">
        <f>IF(BG51="","",BG51)</f>
        <v/>
      </c>
      <c r="BH125" s="192"/>
      <c r="BI125" s="102"/>
      <c r="CK125" s="99" t="s">
        <v>127</v>
      </c>
    </row>
    <row r="126" spans="1:89" ht="15.95" customHeight="1" x14ac:dyDescent="0.5">
      <c r="A126" s="98"/>
      <c r="B126" s="272">
        <v>6</v>
      </c>
      <c r="C126" s="273"/>
      <c r="D126" s="93" t="s">
        <v>125</v>
      </c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  <c r="AA126" s="254"/>
      <c r="AB126" s="254"/>
      <c r="AC126" s="254"/>
      <c r="AD126" s="254"/>
      <c r="AE126" s="254"/>
      <c r="AF126" s="254"/>
      <c r="AG126" s="254"/>
      <c r="AH126" s="254"/>
      <c r="AI126" s="254"/>
      <c r="AK126" s="255" t="str">
        <f>IF(AK52="","",AK52)</f>
        <v/>
      </c>
      <c r="AL126" s="256"/>
      <c r="AM126" s="256"/>
      <c r="AN126" s="256"/>
      <c r="AO126" s="256"/>
      <c r="AP126" s="256"/>
      <c r="AQ126" s="256"/>
      <c r="AR126" s="257"/>
      <c r="AS126" s="267" t="str">
        <f>IF(AS52="","",AS52)</f>
        <v/>
      </c>
      <c r="AT126" s="267"/>
      <c r="AU126" s="267"/>
      <c r="AV126" s="267"/>
      <c r="AW126" s="267"/>
      <c r="AX126" s="267"/>
      <c r="AY126" s="267"/>
      <c r="AZ126" s="264"/>
      <c r="BA126" s="270" t="str">
        <f>IF(BA52="","",BA52)</f>
        <v/>
      </c>
      <c r="BB126" s="271"/>
      <c r="BC126" s="274" t="str">
        <f>IF(BC52="","",BC52)</f>
        <v/>
      </c>
      <c r="BD126" s="274"/>
      <c r="BE126" s="274" t="str">
        <f>IF(BE52="","",BE52)</f>
        <v/>
      </c>
      <c r="BF126" s="274"/>
      <c r="BG126" s="274" t="str">
        <f>IF(BG52="","",BG52)</f>
        <v/>
      </c>
      <c r="BH126" s="275"/>
      <c r="BI126" s="102"/>
    </row>
    <row r="127" spans="1:89" ht="5.0999999999999996" customHeight="1" thickBot="1" x14ac:dyDescent="0.55000000000000004">
      <c r="A127" s="98"/>
      <c r="B127" s="252"/>
      <c r="C127" s="253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196"/>
      <c r="AM127" s="196"/>
      <c r="AN127" s="196"/>
      <c r="AO127" s="196"/>
      <c r="AP127" s="196"/>
      <c r="AQ127" s="196"/>
      <c r="AR127" s="198"/>
      <c r="AS127" s="258"/>
      <c r="AT127" s="247"/>
      <c r="AU127" s="247"/>
      <c r="AV127" s="247"/>
      <c r="AW127" s="247"/>
      <c r="AX127" s="247"/>
      <c r="AY127" s="247"/>
      <c r="AZ127" s="268"/>
      <c r="BA127" s="258"/>
      <c r="BB127" s="247"/>
      <c r="BC127" s="247"/>
      <c r="BD127" s="247"/>
      <c r="BE127" s="247"/>
      <c r="BF127" s="247"/>
      <c r="BG127" s="247"/>
      <c r="BH127" s="259"/>
      <c r="BI127" s="102"/>
    </row>
    <row r="128" spans="1:89" ht="18" customHeight="1" thickBot="1" x14ac:dyDescent="0.55000000000000004">
      <c r="A128" s="98"/>
      <c r="B128" s="248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9"/>
      <c r="V128" s="249"/>
      <c r="W128" s="249"/>
      <c r="X128" s="249"/>
      <c r="Y128" s="249"/>
      <c r="Z128" s="249"/>
      <c r="AQ128" s="134" t="s">
        <v>20</v>
      </c>
      <c r="AR128" s="135"/>
      <c r="AS128" s="188">
        <f>SUM(AS104:AS126)</f>
        <v>26266.67</v>
      </c>
      <c r="AT128" s="189"/>
      <c r="AU128" s="189"/>
      <c r="AV128" s="189"/>
      <c r="AW128" s="189"/>
      <c r="AX128" s="189"/>
      <c r="AY128" s="189"/>
      <c r="AZ128" s="251"/>
      <c r="BA128" s="188">
        <f>SUM(BC104:BC126)</f>
        <v>0</v>
      </c>
      <c r="BB128" s="189"/>
      <c r="BC128" s="189"/>
      <c r="BD128" s="189"/>
      <c r="BE128" s="189"/>
      <c r="BF128" s="189"/>
      <c r="BG128" s="189"/>
      <c r="BH128" s="190"/>
      <c r="BI128" s="102"/>
    </row>
    <row r="129" spans="1:61" ht="5.0999999999999996" customHeight="1" thickTop="1" x14ac:dyDescent="0.5">
      <c r="A129" s="98"/>
      <c r="B129" s="248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  <c r="M129" s="249"/>
      <c r="N129" s="249"/>
      <c r="O129" s="249"/>
      <c r="P129" s="249"/>
      <c r="Q129" s="249"/>
      <c r="R129" s="249"/>
      <c r="S129" s="249"/>
      <c r="T129" s="249"/>
      <c r="U129" s="249"/>
      <c r="V129" s="249"/>
      <c r="W129" s="249"/>
      <c r="X129" s="249"/>
      <c r="Y129" s="249"/>
      <c r="Z129" s="249"/>
      <c r="AA129" s="249"/>
      <c r="AB129" s="249"/>
      <c r="AC129" s="249"/>
      <c r="AD129" s="249"/>
      <c r="AE129" s="249"/>
      <c r="AF129" s="249"/>
      <c r="AG129" s="249"/>
      <c r="AH129" s="249"/>
      <c r="AI129" s="249"/>
      <c r="AJ129" s="249"/>
      <c r="AK129" s="249"/>
      <c r="AL129" s="249"/>
      <c r="AM129" s="249"/>
      <c r="AN129" s="249"/>
      <c r="AO129" s="249"/>
      <c r="AP129" s="249"/>
      <c r="AQ129" s="249"/>
      <c r="AR129" s="249"/>
      <c r="AS129" s="249"/>
      <c r="AT129" s="249"/>
      <c r="AU129" s="249"/>
      <c r="AV129" s="249"/>
      <c r="AW129" s="249"/>
      <c r="AX129" s="249"/>
      <c r="AY129" s="249"/>
      <c r="AZ129" s="249"/>
      <c r="BA129" s="249"/>
      <c r="BB129" s="249"/>
      <c r="BC129" s="249"/>
      <c r="BD129" s="249"/>
      <c r="BE129" s="249"/>
      <c r="BF129" s="249"/>
      <c r="BG129" s="249"/>
      <c r="BH129" s="250"/>
      <c r="BI129" s="102"/>
    </row>
    <row r="130" spans="1:61" ht="18" customHeight="1" x14ac:dyDescent="0.5">
      <c r="A130" s="98"/>
      <c r="B130" s="136" t="s">
        <v>37</v>
      </c>
      <c r="P130" s="261" t="str">
        <f>IF(BA128&gt;0,"("&amp;BAHTTEXT(BA128)&amp;")","")</f>
        <v/>
      </c>
      <c r="Q130" s="262"/>
      <c r="R130" s="262"/>
      <c r="S130" s="262"/>
      <c r="T130" s="262"/>
      <c r="U130" s="262"/>
      <c r="V130" s="262"/>
      <c r="W130" s="262"/>
      <c r="X130" s="262"/>
      <c r="Y130" s="262"/>
      <c r="Z130" s="262"/>
      <c r="AA130" s="262"/>
      <c r="AB130" s="262"/>
      <c r="AC130" s="262"/>
      <c r="AD130" s="262"/>
      <c r="AE130" s="262"/>
      <c r="AF130" s="262"/>
      <c r="AG130" s="262"/>
      <c r="AH130" s="262"/>
      <c r="AI130" s="262"/>
      <c r="AJ130" s="262"/>
      <c r="AK130" s="262"/>
      <c r="AL130" s="262"/>
      <c r="AM130" s="262"/>
      <c r="AN130" s="262"/>
      <c r="AO130" s="262"/>
      <c r="AP130" s="262"/>
      <c r="AQ130" s="262"/>
      <c r="AR130" s="262"/>
      <c r="AS130" s="262"/>
      <c r="AT130" s="262"/>
      <c r="AU130" s="262"/>
      <c r="AV130" s="262"/>
      <c r="AW130" s="262"/>
      <c r="AX130" s="262"/>
      <c r="AY130" s="262"/>
      <c r="AZ130" s="262"/>
      <c r="BA130" s="262"/>
      <c r="BB130" s="262"/>
      <c r="BC130" s="262"/>
      <c r="BD130" s="262"/>
      <c r="BE130" s="262"/>
      <c r="BF130" s="262"/>
      <c r="BG130" s="263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15"/>
      <c r="Z132" s="215"/>
      <c r="AA132" s="215"/>
      <c r="AB132" s="215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260">
        <f>+AM58</f>
        <v>0</v>
      </c>
      <c r="AN132" s="260"/>
      <c r="AO132" s="260"/>
      <c r="AP132" s="260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15"/>
      <c r="BC132" s="215"/>
      <c r="BD132" s="215"/>
      <c r="BE132" s="215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52"/>
      <c r="C133" s="253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9"/>
      <c r="AM133" s="269"/>
      <c r="AN133" s="269"/>
      <c r="AO133" s="269"/>
      <c r="AP133" s="269"/>
      <c r="AQ133" s="269"/>
      <c r="AR133" s="269"/>
      <c r="AS133" s="247"/>
      <c r="AT133" s="247"/>
      <c r="AU133" s="247"/>
      <c r="AV133" s="247"/>
      <c r="AW133" s="247"/>
      <c r="AX133" s="247"/>
      <c r="AY133" s="247"/>
      <c r="AZ133" s="247"/>
      <c r="BA133" s="247"/>
      <c r="BB133" s="247"/>
      <c r="BC133" s="247"/>
      <c r="BD133" s="247"/>
      <c r="BE133" s="247"/>
      <c r="BF133" s="247"/>
      <c r="BG133" s="247"/>
      <c r="BH133" s="259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66"/>
      <c r="AW135" s="266"/>
      <c r="AX135" s="266"/>
      <c r="AY135" s="266"/>
      <c r="AZ135" s="266"/>
      <c r="BA135" s="266"/>
      <c r="BB135" s="266"/>
      <c r="BC135" s="266"/>
      <c r="BD135" s="266"/>
      <c r="BE135" s="266"/>
      <c r="BF135" s="266"/>
      <c r="BG135" s="266"/>
      <c r="BH135" s="147"/>
      <c r="BI135" s="102"/>
    </row>
    <row r="136" spans="1:61" ht="5.0999999999999996" customHeight="1" thickBot="1" x14ac:dyDescent="0.55000000000000004">
      <c r="A136" s="98"/>
      <c r="B136" s="252"/>
      <c r="C136" s="253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9"/>
      <c r="AM136" s="269"/>
      <c r="AN136" s="269"/>
      <c r="AO136" s="269"/>
      <c r="AP136" s="269"/>
      <c r="AQ136" s="269"/>
      <c r="AR136" s="269"/>
      <c r="AS136" s="247"/>
      <c r="AT136" s="247"/>
      <c r="AU136" s="247"/>
      <c r="AV136" s="247"/>
      <c r="AW136" s="247"/>
      <c r="AX136" s="247"/>
      <c r="AY136" s="247"/>
      <c r="AZ136" s="247"/>
      <c r="BA136" s="247"/>
      <c r="BB136" s="247"/>
      <c r="BC136" s="247"/>
      <c r="BD136" s="247"/>
      <c r="BE136" s="247"/>
      <c r="BF136" s="247"/>
      <c r="BG136" s="247"/>
      <c r="BH136" s="259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39"/>
      <c r="C139" s="240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41"/>
      <c r="AH139" s="241"/>
      <c r="AI139" s="241"/>
      <c r="AJ139" s="241"/>
      <c r="AK139" s="241"/>
      <c r="AL139" s="241"/>
      <c r="AM139" s="241"/>
      <c r="AN139" s="241"/>
      <c r="AO139" s="241"/>
      <c r="AP139" s="241"/>
      <c r="AQ139" s="241"/>
      <c r="AR139" s="241"/>
      <c r="AS139" s="241"/>
      <c r="AT139" s="241"/>
      <c r="AU139" s="241"/>
      <c r="AV139" s="241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334"/>
      <c r="AH140" s="334"/>
      <c r="AI140" s="334"/>
      <c r="AJ140" s="334"/>
      <c r="AK140" s="334"/>
      <c r="AL140" s="334"/>
      <c r="AM140" s="334"/>
      <c r="AN140" s="334"/>
      <c r="AO140" s="334"/>
      <c r="AP140" s="334"/>
      <c r="AQ140" s="334"/>
      <c r="AR140" s="334"/>
      <c r="AS140" s="334"/>
      <c r="AT140" s="334"/>
      <c r="AU140" s="334"/>
      <c r="AV140" s="33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38" t="str">
        <f>AI67</f>
        <v>31/12/2025</v>
      </c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39"/>
      <c r="C142" s="240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237"/>
      <c r="C144" s="237"/>
      <c r="D144" s="237"/>
      <c r="E144" s="237"/>
      <c r="F144" s="237"/>
      <c r="G144" s="237"/>
      <c r="H144" s="237"/>
      <c r="I144" s="237"/>
      <c r="J144" s="237"/>
      <c r="K144" s="237"/>
      <c r="L144" s="237"/>
      <c r="M144" s="237"/>
      <c r="N144" s="23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4"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A23:BG23"/>
    <mergeCell ref="AT18:AU18"/>
    <mergeCell ref="BF18:BG18"/>
    <mergeCell ref="Y23:AF23"/>
    <mergeCell ref="AK18:AL18"/>
    <mergeCell ref="BC35:BH35"/>
    <mergeCell ref="BA31:BB31"/>
    <mergeCell ref="AS33:AZ33"/>
    <mergeCell ref="BC31:BH31"/>
    <mergeCell ref="BA33:BB33"/>
    <mergeCell ref="AW18:AX18"/>
    <mergeCell ref="AY18:AZ18"/>
    <mergeCell ref="AR23:AY23"/>
    <mergeCell ref="BA34:BB34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2026-02-13T05:26:43Z</cp:lastPrinted>
  <dcterms:created xsi:type="dcterms:W3CDTF">2001-09-19T06:36:34Z</dcterms:created>
  <dcterms:modified xsi:type="dcterms:W3CDTF">2026-02-13T05:26:43Z</dcterms:modified>
  <cp:category>แบบฟอร์มทางราชการ</cp:category>
</cp:coreProperties>
</file>