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V:\A.โฟร์เดอร์หลัก\Build000 ทดสอบระบบ\ส่วนตัวเอ็ม\BotV3\temp_excel_report\"/>
    </mc:Choice>
  </mc:AlternateContent>
  <xr:revisionPtr revIDLastSave="0" documentId="13_ncr:1_{638B6FDB-A117-4EA2-941F-8911791DEE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วางข้อมูล" sheetId="1" r:id="rId1"/>
    <sheet name="หน้ารายงา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2" l="1" a="1"/>
  <c r="I50" i="2" s="1"/>
  <c r="H50" i="2"/>
  <c r="F50" i="2" a="1"/>
  <c r="F50" i="2" s="1"/>
  <c r="G50" i="2" s="1"/>
  <c r="E50" i="2" a="1"/>
  <c r="E50" i="2" s="1"/>
  <c r="L50" i="2" s="1"/>
  <c r="D50" i="2"/>
  <c r="C50" i="2"/>
  <c r="I49" i="2" a="1"/>
  <c r="I49" i="2" s="1"/>
  <c r="H49" i="2"/>
  <c r="F49" i="2" a="1"/>
  <c r="F49" i="2" s="1"/>
  <c r="G49" i="2" s="1"/>
  <c r="E49" i="2" a="1"/>
  <c r="E49" i="2" s="1"/>
  <c r="D49" i="2"/>
  <c r="C49" i="2"/>
  <c r="I48" i="2" a="1"/>
  <c r="I48" i="2" s="1"/>
  <c r="H48" i="2"/>
  <c r="F48" i="2" a="1"/>
  <c r="F48" i="2" s="1"/>
  <c r="G48" i="2" s="1"/>
  <c r="E48" i="2" a="1"/>
  <c r="E48" i="2" s="1"/>
  <c r="L48" i="2" s="1"/>
  <c r="D48" i="2"/>
  <c r="C48" i="2"/>
  <c r="I47" i="2" a="1"/>
  <c r="I47" i="2" s="1"/>
  <c r="H47" i="2"/>
  <c r="F47" i="2" a="1"/>
  <c r="F47" i="2" s="1"/>
  <c r="G47" i="2" s="1"/>
  <c r="E47" i="2" a="1"/>
  <c r="E47" i="2" s="1"/>
  <c r="D47" i="2"/>
  <c r="C47" i="2"/>
  <c r="I46" i="2" a="1"/>
  <c r="I46" i="2"/>
  <c r="H46" i="2"/>
  <c r="F46" i="2" a="1"/>
  <c r="F46" i="2" s="1"/>
  <c r="G46" i="2" s="1"/>
  <c r="E46" i="2" a="1"/>
  <c r="E46" i="2" s="1"/>
  <c r="K46" i="2" s="1"/>
  <c r="D46" i="2"/>
  <c r="C46" i="2"/>
  <c r="I45" i="2" a="1"/>
  <c r="I45" i="2" s="1"/>
  <c r="H45" i="2"/>
  <c r="F45" i="2" a="1"/>
  <c r="F45" i="2" s="1"/>
  <c r="G45" i="2" s="1"/>
  <c r="E45" i="2" a="1"/>
  <c r="E45" i="2"/>
  <c r="K45" i="2" s="1"/>
  <c r="D45" i="2"/>
  <c r="C45" i="2"/>
  <c r="I44" i="2" a="1"/>
  <c r="I44" i="2" s="1"/>
  <c r="H44" i="2"/>
  <c r="F44" i="2" a="1"/>
  <c r="F44" i="2" s="1"/>
  <c r="G44" i="2" s="1"/>
  <c r="E44" i="2" a="1"/>
  <c r="E44" i="2"/>
  <c r="L44" i="2" s="1"/>
  <c r="D44" i="2"/>
  <c r="C44" i="2"/>
  <c r="I43" i="2" a="1"/>
  <c r="I43" i="2" s="1"/>
  <c r="H43" i="2"/>
  <c r="F43" i="2" a="1"/>
  <c r="F43" i="2" s="1"/>
  <c r="G43" i="2" s="1"/>
  <c r="E43" i="2" a="1"/>
  <c r="E43" i="2" s="1"/>
  <c r="D43" i="2"/>
  <c r="C43" i="2"/>
  <c r="I42" i="2" a="1"/>
  <c r="I42" i="2" s="1"/>
  <c r="H42" i="2"/>
  <c r="F42" i="2" a="1"/>
  <c r="F42" i="2" s="1"/>
  <c r="G42" i="2" s="1"/>
  <c r="E42" i="2" a="1"/>
  <c r="E42" i="2" s="1"/>
  <c r="D42" i="2"/>
  <c r="C42" i="2"/>
  <c r="I41" i="2" a="1"/>
  <c r="I41" i="2" s="1"/>
  <c r="H41" i="2"/>
  <c r="F41" i="2" a="1"/>
  <c r="F41" i="2" s="1"/>
  <c r="G41" i="2" s="1"/>
  <c r="E41" i="2" a="1"/>
  <c r="E41" i="2" s="1"/>
  <c r="L41" i="2" s="1"/>
  <c r="D41" i="2"/>
  <c r="C41" i="2"/>
  <c r="I40" i="2" a="1"/>
  <c r="I40" i="2" s="1"/>
  <c r="H40" i="2"/>
  <c r="F40" i="2" a="1"/>
  <c r="F40" i="2"/>
  <c r="G40" i="2" s="1"/>
  <c r="E40" i="2" a="1"/>
  <c r="E40" i="2" s="1"/>
  <c r="D40" i="2"/>
  <c r="C40" i="2"/>
  <c r="I39" i="2" a="1"/>
  <c r="I39" i="2"/>
  <c r="H39" i="2"/>
  <c r="F39" i="2" a="1"/>
  <c r="F39" i="2"/>
  <c r="G39" i="2" s="1"/>
  <c r="E39" i="2" a="1"/>
  <c r="E39" i="2" s="1"/>
  <c r="L39" i="2" s="1"/>
  <c r="D39" i="2"/>
  <c r="C39" i="2"/>
  <c r="I38" i="2" a="1"/>
  <c r="I38" i="2" s="1"/>
  <c r="H38" i="2"/>
  <c r="F38" i="2" a="1"/>
  <c r="F38" i="2" s="1"/>
  <c r="G38" i="2" s="1"/>
  <c r="E38" i="2" a="1"/>
  <c r="E38" i="2" s="1"/>
  <c r="D38" i="2"/>
  <c r="C38" i="2"/>
  <c r="I37" i="2" a="1"/>
  <c r="I37" i="2" s="1"/>
  <c r="H37" i="2"/>
  <c r="F37" i="2" a="1"/>
  <c r="F37" i="2" s="1"/>
  <c r="G37" i="2" s="1"/>
  <c r="E37" i="2" a="1"/>
  <c r="E37" i="2"/>
  <c r="L37" i="2" s="1"/>
  <c r="D37" i="2"/>
  <c r="C37" i="2"/>
  <c r="I36" i="2" a="1"/>
  <c r="I36" i="2" s="1"/>
  <c r="H36" i="2"/>
  <c r="F36" i="2" a="1"/>
  <c r="F36" i="2" s="1"/>
  <c r="G36" i="2" s="1"/>
  <c r="E36" i="2" a="1"/>
  <c r="E36" i="2" s="1"/>
  <c r="D36" i="2"/>
  <c r="C36" i="2"/>
  <c r="I35" i="2" a="1"/>
  <c r="I35" i="2" s="1"/>
  <c r="H35" i="2"/>
  <c r="F35" i="2" a="1"/>
  <c r="F35" i="2" s="1"/>
  <c r="G35" i="2" s="1"/>
  <c r="E35" i="2" a="1"/>
  <c r="E35" i="2" s="1"/>
  <c r="D35" i="2"/>
  <c r="C35" i="2"/>
  <c r="I34" i="2" a="1"/>
  <c r="I34" i="2" s="1"/>
  <c r="H34" i="2"/>
  <c r="F34" i="2" a="1"/>
  <c r="F34" i="2" s="1"/>
  <c r="G34" i="2" s="1"/>
  <c r="E34" i="2" a="1"/>
  <c r="E34" i="2"/>
  <c r="L34" i="2" s="1"/>
  <c r="D34" i="2"/>
  <c r="C34" i="2"/>
  <c r="I33" i="2" a="1"/>
  <c r="I33" i="2" s="1"/>
  <c r="H33" i="2"/>
  <c r="F33" i="2" a="1"/>
  <c r="F33" i="2" s="1"/>
  <c r="G33" i="2" s="1"/>
  <c r="E33" i="2" a="1"/>
  <c r="E33" i="2"/>
  <c r="L33" i="2" s="1"/>
  <c r="D33" i="2"/>
  <c r="C33" i="2"/>
  <c r="I32" i="2" a="1"/>
  <c r="I32" i="2" s="1"/>
  <c r="H32" i="2"/>
  <c r="F32" i="2" a="1"/>
  <c r="F32" i="2" s="1"/>
  <c r="G32" i="2" s="1"/>
  <c r="E32" i="2" a="1"/>
  <c r="E32" i="2" s="1"/>
  <c r="L32" i="2" s="1"/>
  <c r="D32" i="2"/>
  <c r="C32" i="2"/>
  <c r="I31" i="2" a="1"/>
  <c r="I31" i="2" s="1"/>
  <c r="H31" i="2"/>
  <c r="F31" i="2" a="1"/>
  <c r="F31" i="2"/>
  <c r="G31" i="2" s="1"/>
  <c r="E31" i="2" a="1"/>
  <c r="E31" i="2" s="1"/>
  <c r="D31" i="2"/>
  <c r="C31" i="2"/>
  <c r="I30" i="2" a="1"/>
  <c r="I30" i="2"/>
  <c r="H30" i="2"/>
  <c r="F30" i="2" a="1"/>
  <c r="F30" i="2"/>
  <c r="G30" i="2" s="1"/>
  <c r="E30" i="2" a="1"/>
  <c r="E30" i="2" s="1"/>
  <c r="L30" i="2" s="1"/>
  <c r="D30" i="2"/>
  <c r="C30" i="2"/>
  <c r="I29" i="2" a="1"/>
  <c r="I29" i="2" s="1"/>
  <c r="H29" i="2"/>
  <c r="F29" i="2" a="1"/>
  <c r="F29" i="2" s="1"/>
  <c r="G29" i="2" s="1"/>
  <c r="E29" i="2" a="1"/>
  <c r="E29" i="2" s="1"/>
  <c r="D29" i="2"/>
  <c r="C29" i="2"/>
  <c r="I28" i="2" a="1"/>
  <c r="I28" i="2"/>
  <c r="H28" i="2"/>
  <c r="F28" i="2" a="1"/>
  <c r="F28" i="2" s="1"/>
  <c r="G28" i="2" s="1"/>
  <c r="E28" i="2" a="1"/>
  <c r="E28" i="2" s="1"/>
  <c r="K28" i="2" s="1"/>
  <c r="D28" i="2"/>
  <c r="C28" i="2"/>
  <c r="I27" i="2" a="1"/>
  <c r="I27" i="2" s="1"/>
  <c r="H27" i="2"/>
  <c r="F27" i="2" a="1"/>
  <c r="F27" i="2" s="1"/>
  <c r="G27" i="2" s="1"/>
  <c r="E27" i="2" a="1"/>
  <c r="E27" i="2" s="1"/>
  <c r="D27" i="2"/>
  <c r="C27" i="2"/>
  <c r="I26" i="2" a="1"/>
  <c r="I26" i="2" s="1"/>
  <c r="H26" i="2"/>
  <c r="F26" i="2" a="1"/>
  <c r="F26" i="2" s="1"/>
  <c r="G26" i="2" s="1"/>
  <c r="E26" i="2" a="1"/>
  <c r="E26" i="2" s="1"/>
  <c r="K26" i="2" s="1"/>
  <c r="D26" i="2"/>
  <c r="C26" i="2"/>
  <c r="I25" i="2" a="1"/>
  <c r="I25" i="2" s="1"/>
  <c r="H25" i="2"/>
  <c r="F25" i="2" a="1"/>
  <c r="F25" i="2"/>
  <c r="G25" i="2" s="1"/>
  <c r="E25" i="2" a="1"/>
  <c r="E25" i="2"/>
  <c r="K25" i="2" s="1"/>
  <c r="D25" i="2"/>
  <c r="C25" i="2"/>
  <c r="I24" i="2" a="1"/>
  <c r="I24" i="2" s="1"/>
  <c r="H24" i="2"/>
  <c r="F24" i="2" a="1"/>
  <c r="F24" i="2" s="1"/>
  <c r="G24" i="2" s="1"/>
  <c r="E24" i="2" a="1"/>
  <c r="E24" i="2" s="1"/>
  <c r="D24" i="2"/>
  <c r="C24" i="2"/>
  <c r="I23" i="2" a="1"/>
  <c r="I23" i="2"/>
  <c r="H23" i="2"/>
  <c r="F23" i="2" a="1"/>
  <c r="F23" i="2"/>
  <c r="G23" i="2" s="1"/>
  <c r="E23" i="2" a="1"/>
  <c r="E23" i="2" s="1"/>
  <c r="D23" i="2"/>
  <c r="C23" i="2"/>
  <c r="I22" i="2" a="1"/>
  <c r="I22" i="2"/>
  <c r="H22" i="2"/>
  <c r="F22" i="2" a="1"/>
  <c r="F22" i="2" s="1"/>
  <c r="G22" i="2" s="1"/>
  <c r="E22" i="2" a="1"/>
  <c r="E22" i="2" s="1"/>
  <c r="D22" i="2"/>
  <c r="C22" i="2"/>
  <c r="I21" i="2" a="1"/>
  <c r="I21" i="2" s="1"/>
  <c r="H21" i="2"/>
  <c r="F21" i="2" a="1"/>
  <c r="F21" i="2" s="1"/>
  <c r="G21" i="2" s="1"/>
  <c r="E21" i="2" a="1"/>
  <c r="E21" i="2" s="1"/>
  <c r="D21" i="2"/>
  <c r="C21" i="2"/>
  <c r="I20" i="2" a="1"/>
  <c r="I20" i="2" s="1"/>
  <c r="H20" i="2"/>
  <c r="F20" i="2" a="1"/>
  <c r="F20" i="2" s="1"/>
  <c r="G20" i="2" s="1"/>
  <c r="E20" i="2" a="1"/>
  <c r="E20" i="2"/>
  <c r="K20" i="2" s="1"/>
  <c r="D20" i="2"/>
  <c r="C20" i="2"/>
  <c r="I19" i="2" a="1"/>
  <c r="I19" i="2" s="1"/>
  <c r="H19" i="2"/>
  <c r="F19" i="2" a="1"/>
  <c r="F19" i="2" s="1"/>
  <c r="G19" i="2" s="1"/>
  <c r="E19" i="2" a="1"/>
  <c r="E19" i="2"/>
  <c r="L19" i="2" s="1"/>
  <c r="D19" i="2"/>
  <c r="C19" i="2"/>
  <c r="I18" i="2" a="1"/>
  <c r="I18" i="2" s="1"/>
  <c r="H18" i="2"/>
  <c r="F18" i="2" a="1"/>
  <c r="F18" i="2"/>
  <c r="G18" i="2" s="1"/>
  <c r="E18" i="2" a="1"/>
  <c r="E18" i="2" s="1"/>
  <c r="D18" i="2"/>
  <c r="C18" i="2"/>
  <c r="I17" i="2" a="1"/>
  <c r="I17" i="2" s="1"/>
  <c r="H17" i="2"/>
  <c r="F17" i="2" a="1"/>
  <c r="F17" i="2" s="1"/>
  <c r="G17" i="2" s="1"/>
  <c r="E17" i="2" a="1"/>
  <c r="E17" i="2" s="1"/>
  <c r="L17" i="2" s="1"/>
  <c r="D17" i="2"/>
  <c r="C17" i="2"/>
  <c r="I16" i="2" a="1"/>
  <c r="I16" i="2" s="1"/>
  <c r="H16" i="2"/>
  <c r="F16" i="2" a="1"/>
  <c r="F16" i="2" s="1"/>
  <c r="G16" i="2" s="1"/>
  <c r="E16" i="2" a="1"/>
  <c r="E16" i="2" s="1"/>
  <c r="D16" i="2"/>
  <c r="C16" i="2"/>
  <c r="I15" i="2" a="1"/>
  <c r="I15" i="2"/>
  <c r="H15" i="2"/>
  <c r="F15" i="2" a="1"/>
  <c r="F15" i="2" s="1"/>
  <c r="G15" i="2" s="1"/>
  <c r="E15" i="2" a="1"/>
  <c r="E15" i="2" s="1"/>
  <c r="D15" i="2"/>
  <c r="C15" i="2"/>
  <c r="I14" i="2" a="1"/>
  <c r="I14" i="2" s="1"/>
  <c r="H14" i="2"/>
  <c r="F14" i="2" a="1"/>
  <c r="F14" i="2"/>
  <c r="G14" i="2" s="1"/>
  <c r="E14" i="2" a="1"/>
  <c r="E14" i="2" s="1"/>
  <c r="D14" i="2"/>
  <c r="C14" i="2"/>
  <c r="I13" i="2" a="1"/>
  <c r="I13" i="2" s="1"/>
  <c r="H13" i="2"/>
  <c r="F13" i="2" a="1"/>
  <c r="F13" i="2" s="1"/>
  <c r="G13" i="2" s="1"/>
  <c r="E13" i="2" a="1"/>
  <c r="E13" i="2" s="1"/>
  <c r="L13" i="2" s="1"/>
  <c r="D13" i="2"/>
  <c r="C13" i="2"/>
  <c r="I12" i="2" a="1"/>
  <c r="I12" i="2"/>
  <c r="H12" i="2"/>
  <c r="F12" i="2" a="1"/>
  <c r="F12" i="2" s="1"/>
  <c r="G12" i="2" s="1"/>
  <c r="E12" i="2" a="1"/>
  <c r="E12" i="2" s="1"/>
  <c r="L12" i="2" s="1"/>
  <c r="D12" i="2"/>
  <c r="C12" i="2"/>
  <c r="I11" i="2" a="1"/>
  <c r="I11" i="2" s="1"/>
  <c r="H11" i="2"/>
  <c r="F11" i="2" a="1"/>
  <c r="F11" i="2" s="1"/>
  <c r="G11" i="2" s="1"/>
  <c r="E11" i="2" a="1"/>
  <c r="E11" i="2" s="1"/>
  <c r="D11" i="2"/>
  <c r="C11" i="2"/>
  <c r="I10" i="2" a="1"/>
  <c r="I10" i="2" s="1"/>
  <c r="H10" i="2"/>
  <c r="F10" i="2" a="1"/>
  <c r="F10" i="2"/>
  <c r="G10" i="2" s="1"/>
  <c r="E10" i="2" a="1"/>
  <c r="E10" i="2" s="1"/>
  <c r="L10" i="2" s="1"/>
  <c r="D10" i="2"/>
  <c r="C10" i="2"/>
  <c r="I9" i="2" a="1"/>
  <c r="I9" i="2" s="1"/>
  <c r="H9" i="2"/>
  <c r="F9" i="2" a="1"/>
  <c r="F9" i="2" s="1"/>
  <c r="G9" i="2" s="1"/>
  <c r="E9" i="2" a="1"/>
  <c r="E9" i="2" s="1"/>
  <c r="D9" i="2"/>
  <c r="C9" i="2"/>
  <c r="T8" i="2"/>
  <c r="B8" i="2" a="1"/>
  <c r="B8" i="2" s="1"/>
  <c r="L24" i="2" l="1"/>
  <c r="K24" i="2"/>
  <c r="M24" i="2" s="1"/>
  <c r="L14" i="2"/>
  <c r="K14" i="2"/>
  <c r="M14" i="2" s="1"/>
  <c r="K17" i="2"/>
  <c r="M17" i="2" s="1"/>
  <c r="K12" i="2"/>
  <c r="M12" i="2" s="1"/>
  <c r="L26" i="2"/>
  <c r="M26" i="2" s="1"/>
  <c r="K40" i="2"/>
  <c r="L40" i="2"/>
  <c r="L21" i="2"/>
  <c r="K21" i="2"/>
  <c r="M21" i="2" s="1"/>
  <c r="K34" i="2"/>
  <c r="M34" i="2" s="1"/>
  <c r="L20" i="2"/>
  <c r="L46" i="2"/>
  <c r="K32" i="2"/>
  <c r="M32" i="2" s="1"/>
  <c r="K37" i="2"/>
  <c r="M37" i="2" s="1"/>
  <c r="K44" i="2"/>
  <c r="M44" i="2" s="1"/>
  <c r="M20" i="2"/>
  <c r="M46" i="2"/>
  <c r="K48" i="2"/>
  <c r="M48" i="2" s="1"/>
  <c r="K41" i="2"/>
  <c r="M41" i="2" s="1"/>
  <c r="K27" i="2"/>
  <c r="L27" i="2"/>
  <c r="L11" i="2"/>
  <c r="K11" i="2"/>
  <c r="M11" i="2" s="1"/>
  <c r="L42" i="2"/>
  <c r="K42" i="2"/>
  <c r="M42" i="2" s="1"/>
  <c r="L31" i="2"/>
  <c r="K31" i="2"/>
  <c r="M31" i="2" s="1"/>
  <c r="M45" i="2"/>
  <c r="L18" i="2"/>
  <c r="K18" i="2"/>
  <c r="M18" i="2" s="1"/>
  <c r="L23" i="2"/>
  <c r="K23" i="2"/>
  <c r="M23" i="2" s="1"/>
  <c r="F8" i="2" a="1"/>
  <c r="F8" i="2" s="1"/>
  <c r="C8" i="2"/>
  <c r="F2" i="2" s="1"/>
  <c r="E8" i="2" a="1"/>
  <c r="E8" i="2" s="1"/>
  <c r="D8" i="2"/>
  <c r="I8" i="2" a="1"/>
  <c r="I8" i="2" s="1"/>
  <c r="S8" i="2" s="1"/>
  <c r="L16" i="2"/>
  <c r="K16" i="2"/>
  <c r="L49" i="2"/>
  <c r="K49" i="2"/>
  <c r="L47" i="2"/>
  <c r="K47" i="2"/>
  <c r="M47" i="2" s="1"/>
  <c r="L36" i="2"/>
  <c r="K36" i="2"/>
  <c r="M36" i="2" s="1"/>
  <c r="L22" i="2"/>
  <c r="K22" i="2"/>
  <c r="M22" i="2" s="1"/>
  <c r="L15" i="2"/>
  <c r="K15" i="2"/>
  <c r="M15" i="2" s="1"/>
  <c r="M28" i="2"/>
  <c r="L35" i="2"/>
  <c r="K35" i="2"/>
  <c r="M35" i="2" s="1"/>
  <c r="K9" i="2"/>
  <c r="L9" i="2"/>
  <c r="L38" i="2"/>
  <c r="K38" i="2"/>
  <c r="L43" i="2"/>
  <c r="K43" i="2"/>
  <c r="L29" i="2"/>
  <c r="K29" i="2"/>
  <c r="L25" i="2"/>
  <c r="M25" i="2" s="1"/>
  <c r="L45" i="2"/>
  <c r="L28" i="2"/>
  <c r="K19" i="2"/>
  <c r="M19" i="2" s="1"/>
  <c r="K39" i="2"/>
  <c r="M39" i="2" s="1"/>
  <c r="K13" i="2"/>
  <c r="M13" i="2" s="1"/>
  <c r="K33" i="2"/>
  <c r="M33" i="2" s="1"/>
  <c r="K50" i="2"/>
  <c r="M50" i="2" s="1"/>
  <c r="K10" i="2"/>
  <c r="M10" i="2" s="1"/>
  <c r="K30" i="2"/>
  <c r="M30" i="2" s="1"/>
  <c r="M43" i="2" l="1"/>
  <c r="M16" i="2"/>
  <c r="M40" i="2"/>
  <c r="M27" i="2"/>
  <c r="M9" i="2"/>
  <c r="M29" i="2"/>
  <c r="M49" i="2"/>
  <c r="G8" i="2"/>
  <c r="Q8" i="2" s="1"/>
  <c r="P8" i="2"/>
  <c r="M38" i="2"/>
  <c r="L8" i="2"/>
  <c r="V8" i="2" s="1"/>
  <c r="O8" i="2"/>
  <c r="K8" i="2"/>
  <c r="H8" i="2" l="1"/>
  <c r="R8" i="2" s="1"/>
  <c r="U8" i="2"/>
  <c r="M8" i="2"/>
  <c r="W8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<sst xmlns="http://schemas.openxmlformats.org/spreadsheetml/2006/main" count="42" uniqueCount="32">
  <si>
    <t>ลำดับ</t>
  </si>
  <si>
    <t>ชื่อบริษัท</t>
  </si>
  <si>
    <t>เลขประจำตัวผู้เสียภาษี</t>
  </si>
  <si>
    <t>สาขา</t>
  </si>
  <si>
    <t>วันที่</t>
  </si>
  <si>
    <t>ครบกำหนดชำระ</t>
  </si>
  <si>
    <t>เลขที่เอกสาร</t>
  </si>
  <si>
    <t>ชื่อบัญชี / โค้ดบัญชี</t>
  </si>
  <si>
    <t>เปอร์เซ็นต์หัก ณ ที่จ่าย</t>
  </si>
  <si>
    <t>ยอดก่อนภาษีมูลค่าเพิ่ม</t>
  </si>
  <si>
    <t>ยอดภาษีมูลค่าเพิ่ม</t>
  </si>
  <si>
    <t>ยอดหลังบวกภาษีมูลค่าเพิ่ม</t>
  </si>
  <si>
    <t>อ้างอิง</t>
  </si>
  <si>
    <t>หมายเหตุ</t>
  </si>
  <si>
    <t>ชื่อไฟล์ใหม่</t>
  </si>
  <si>
    <t>ชื่อไฟล์เก่า</t>
  </si>
  <si>
    <t>รายงานการจ่ายชำระค่าขนส่งและค่าบริการ COD</t>
  </si>
  <si>
    <t>ประจำเดือน</t>
  </si>
  <si>
    <t>บริษัท มายออเดอร์ อินเทลลิเจนซ์ จำกัด (สำนักงานใหญ่)</t>
  </si>
  <si>
    <t>69/429 หมู่ที่ 2 ตำบลวิชิต อำเภอเมือง จังหวัดภูเก็ต 83000</t>
  </si>
  <si>
    <t>เลขประจำตัวผู้เสียภาษี 0835563010999</t>
  </si>
  <si>
    <t>ค่าขนส่งวันที่</t>
  </si>
  <si>
    <t>ชื่อขนส่ง</t>
  </si>
  <si>
    <t>ค่าขนส่งภายในประเทศ</t>
  </si>
  <si>
    <t>ให้บริการ COD</t>
  </si>
  <si>
    <t>VAT 7%</t>
  </si>
  <si>
    <t>รวมเป็นจำนวนเงินทั้งสิ้น</t>
  </si>
  <si>
    <t>วันที่รับเงินโอนจำนวนเงินที่โอน</t>
  </si>
  <si>
    <t>เงินโอน ขาด/เกิน</t>
  </si>
  <si>
    <t>หัก ณ ที่จ่าย 1%</t>
  </si>
  <si>
    <t>หัก ณ ที่จ่าย 3%</t>
  </si>
  <si>
    <t>รวมหัก ณ ที่จ่าย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</si>
</sst>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4"/>
      <color rgb="FFFFFFFF"/>
      <name val="TH Sarabun New"/>
    </font>
    <font>
      <sz val="14"/>
      <color theme="1"/>
      <name val="Angsana New"/>
      <family val="1"/>
    </font>
    <font>
      <sz val="14"/>
      <color rgb="FFFF0000"/>
      <name val="Angsana New"/>
      <family val="1"/>
    </font>
    <font>
      <sz val="16"/>
      <color theme="1"/>
      <name val="Angsana New"/>
      <family val="1"/>
    </font>
    <font>
      <b/>
      <sz val="14"/>
      <color theme="1"/>
      <name val="Angsana New"/>
      <family val="1"/>
    </font>
    <font>
      <b/>
      <sz val="14"/>
      <color rgb="FFFF0000"/>
      <name val="Angsana New"/>
      <family val="1"/>
    </font>
    <font>
      <sz val="13"/>
      <name val="TH Sarabun New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59" fontId="3" fillId="0" borderId="0" xfId="0" applyNumberFormat="1" applyFont="1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3" fontId="5" fillId="0" borderId="1" xfId="1" applyFont="1" applyBorder="1"/>
    <xf numFmtId="0" fontId="5" fillId="0" borderId="1" xfId="0" applyFont="1" applyBorder="1"/>
    <xf numFmtId="43" fontId="5" fillId="0" borderId="1" xfId="0" applyNumberFormat="1" applyFont="1" applyBorder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" fontId="8" fillId="4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4" fontId="8" fillId="5" borderId="1" xfId="0" applyNumberFormat="1" applyFont="1" applyFill="1" applyBorder="1" applyAlignment="1">
      <alignment horizontal="right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B8" sqref="B8"/>
    </sheetView>
  </sheetViews>
  <sheetFormatPr defaultRowHeight="14.25"/>
  <cols>
    <col min="1" max="1" width="8" customWidth="1"/>
    <col min="2" max="2" width="40" customWidth="1"/>
    <col min="3" max="3" width="20" customWidth="1"/>
    <col min="4" max="4" width="12" customWidth="1"/>
    <col min="5" max="5" width="15" customWidth="1"/>
    <col min="6" max="7" width="18" customWidth="1"/>
    <col min="8" max="8" width="30" customWidth="1"/>
    <col min="9" max="9" width="18" customWidth="1"/>
    <col min="10" max="13" width="20" customWidth="1"/>
    <col min="14" max="15" width="25" customWidth="1"/>
    <col min="16" max="16" width="30" customWidth="1"/>
  </cols>
  <sheetData>
    <row r="1" spans="1:1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6.5">
      <c r="A2" s="17"/>
      <c r="B2" s="18"/>
      <c r="C2" s="18"/>
      <c r="D2" s="17"/>
      <c r="E2" s="18"/>
      <c r="F2" s="17"/>
      <c r="G2" s="17"/>
      <c r="H2" s="18"/>
      <c r="I2" s="17"/>
      <c r="J2" s="19"/>
      <c r="K2" s="19"/>
      <c r="L2" s="19"/>
      <c r="M2" s="18"/>
      <c r="N2" s="18"/>
      <c r="O2" s="18"/>
      <c r="P2" s="18"/>
    </row>
    <row r="3" spans="1:16" ht="16.5">
      <c r="A3" s="20"/>
      <c r="B3" s="21"/>
      <c r="C3" s="21"/>
      <c r="D3" s="20"/>
      <c r="E3" s="21"/>
      <c r="F3" s="20"/>
      <c r="G3" s="20"/>
      <c r="H3" s="21"/>
      <c r="I3" s="20"/>
      <c r="J3" s="22"/>
      <c r="K3" s="22"/>
      <c r="L3" s="22"/>
      <c r="M3" s="21"/>
      <c r="N3" s="21"/>
      <c r="O3" s="21"/>
      <c r="P3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50"/>
  <sheetViews>
    <sheetView showGridLines="0" topLeftCell="A2" workbookViewId="0">
      <selection activeCell="B21" sqref="B20:B21"/>
    </sheetView>
  </sheetViews>
  <sheetFormatPr defaultRowHeight="21"/>
  <cols>
    <col min="1" max="1" width="3.25" style="2" customWidth="1"/>
    <col min="2" max="2" width="13.5" style="2" customWidth="1"/>
    <col min="3" max="3" width="18" style="2" customWidth="1"/>
    <col min="4" max="4" width="10.375" style="2" bestFit="1" customWidth="1"/>
    <col min="5" max="5" width="10" style="2" bestFit="1" customWidth="1"/>
    <col min="6" max="6" width="13.5" style="2" customWidth="1"/>
    <col min="7" max="7" width="10.875" style="2" customWidth="1"/>
    <col min="8" max="8" width="12.875" style="2" customWidth="1"/>
    <col min="9" max="9" width="11.875" style="2" bestFit="1" customWidth="1"/>
    <col min="10" max="17" width="9" style="2" customWidth="1"/>
    <col min="18" max="18" width="9.375" style="2" bestFit="1" customWidth="1"/>
    <col min="19" max="19" width="9" style="2" customWidth="1"/>
    <col min="20" max="16384" width="9" style="2"/>
  </cols>
  <sheetData>
    <row r="1" spans="2:23" ht="21.75" customHeight="1" thickBot="1"/>
    <row r="2" spans="2:23" ht="17.25" customHeight="1" thickBot="1">
      <c r="B2" s="2" t="s">
        <v>16</v>
      </c>
      <c r="E2" s="9" t="s">
        <v>17</v>
      </c>
      <c r="F2" s="3" t="e" vm="1">
        <f>IF(C8&lt;&gt;"", TEXT(C8, "mmmm"), "")</f>
        <v>#VALUE!</v>
      </c>
      <c r="G2" s="4">
        <v>2025</v>
      </c>
    </row>
    <row r="3" spans="2:23" ht="17.25" customHeight="1">
      <c r="B3" s="2" t="s">
        <v>18</v>
      </c>
    </row>
    <row r="4" spans="2:23" ht="17.25" customHeight="1">
      <c r="B4" s="2" t="s">
        <v>19</v>
      </c>
    </row>
    <row r="5" spans="2:23" ht="17.25" customHeight="1">
      <c r="B5" s="2" t="s">
        <v>20</v>
      </c>
    </row>
    <row r="6" spans="2:23" ht="17.25" customHeight="1">
      <c r="C6" s="5"/>
      <c r="K6" s="6"/>
    </row>
    <row r="7" spans="2:23" ht="64.5" customHeight="1">
      <c r="B7" s="14" t="s">
        <v>6</v>
      </c>
      <c r="C7" s="14" t="s">
        <v>21</v>
      </c>
      <c r="D7" s="14" t="s">
        <v>22</v>
      </c>
      <c r="E7" s="14" t="s">
        <v>23</v>
      </c>
      <c r="F7" s="14" t="s">
        <v>24</v>
      </c>
      <c r="G7" s="14" t="s">
        <v>25</v>
      </c>
      <c r="H7" s="14" t="s">
        <v>26</v>
      </c>
      <c r="I7" s="14" t="s">
        <v>27</v>
      </c>
      <c r="J7" s="14" t="s">
        <v>28</v>
      </c>
      <c r="K7" s="14" t="s">
        <v>29</v>
      </c>
      <c r="L7" s="14" t="s">
        <v>30</v>
      </c>
      <c r="M7" s="15" t="s">
        <v>31</v>
      </c>
      <c r="O7" s="7" t="s">
        <v>23</v>
      </c>
      <c r="P7" s="7" t="s">
        <v>24</v>
      </c>
      <c r="Q7" s="7" t="s">
        <v>25</v>
      </c>
      <c r="R7" s="7" t="s">
        <v>26</v>
      </c>
      <c r="S7" s="7" t="s">
        <v>27</v>
      </c>
      <c r="T7" s="7" t="s">
        <v>28</v>
      </c>
      <c r="U7" s="7" t="s">
        <v>29</v>
      </c>
      <c r="V7" s="7" t="s">
        <v>30</v>
      </c>
      <c r="W7" s="8" t="s">
        <v>31</v>
      </c>
    </row>
    <row r="8" spans="2:23" ht="23.25" customHeight="1">
      <c r="B8" s="10" t="e" vm="2">
        <f t="array" ref="B8">_xlfn.UNIQUE(_xlfn._xlws.FILTER(วางข้อมูล!G2:G998, วางข้อมูล!G2:G998 &lt;&gt; ""))</f>
        <v>#VALUE!</v>
      </c>
      <c r="C8" s="10" t="e" vm="1">
        <f>IF(B8&lt;&gt;"",TEXT(
_xlfn.XLOOKUP(B8,วางข้อมูล!G:G,วางข้อมูล!E:E),
"d mmmm yyyy"
),"")</f>
        <v>#VALUE!</v>
      </c>
      <c r="D8" s="10" t="e" vm="1">
        <f t="shared" ref="D8:D50" si="0">IF(B8&lt;&gt;"","Flash","")</f>
        <v>#VALUE!</v>
      </c>
      <c r="E8" s="11" t="e" vm="1">
        <f t="array" ref="E8">IF(B8&lt;&gt;"",_xlfn.XLOOKUP(
1,
(วางข้อมูล!G:G=B8)*(วางข้อมูล!I:I=1),
วางข้อมูล!J:J,
"ไม่พบข้อมูล"
),"")</f>
        <v>#VALUE!</v>
      </c>
      <c r="F8" s="11" t="e" vm="1">
        <f t="array" ref="F8">IF(B8&lt;&gt;"",_xlfn.XLOOKUP(
  1,
  (วางข้อมูล!G:G = B8) * (วางข้อมูล!I:I = 3),
  วางข้อมูล!J:J,
  "ไม่พบข้อมูล"
),"")</f>
        <v>#VALUE!</v>
      </c>
      <c r="G8" s="11" t="e" vm="1">
        <f t="shared" ref="G8:G50" si="1">+IF(F8&lt;&gt;"",F8*7/100,"")</f>
        <v>#VALUE!</v>
      </c>
      <c r="H8" s="11" t="e" vm="1">
        <f t="shared" ref="H8:H50" si="2">IF(B8&lt;&gt;"",SUM(E8:G8),"")</f>
        <v>#VALUE!</v>
      </c>
      <c r="I8" s="10" t="e" vm="1">
        <f t="array" ref="I8">IF(B8&lt;&gt;"",TEXT(_xlfn.XLOOKUP(B8,วางข้อมูล!G:G,LEFT(วางข้อมูล!N:N,10)),"d mmmm yyyy"),"""")</f>
        <v>#VALUE!</v>
      </c>
      <c r="J8" s="12"/>
      <c r="K8" s="11" t="e" vm="1">
        <f t="shared" ref="K8:K50" si="3">IF(E8&lt;&gt;"",E8*1/100,"")</f>
        <v>#VALUE!</v>
      </c>
      <c r="L8" s="11" t="e" vm="1">
        <f t="shared" ref="L8:L50" si="4">IF(E8&lt;&gt;"",E8*3/100,"")</f>
        <v>#VALUE!</v>
      </c>
      <c r="M8" s="11" t="e" vm="1">
        <f t="shared" ref="M8:M50" si="5">IF(AND(K8&lt;&gt;"",L8&lt;&gt;""),K8+L8,"")</f>
        <v>#VALUE!</v>
      </c>
      <c r="O8" s="13" t="e" vm="1">
        <f t="shared" ref="O8:W8" si="6">SUM(E8:E50)</f>
        <v>#VALUE!</v>
      </c>
      <c r="P8" s="13" t="e" vm="1">
        <f t="shared" si="6"/>
        <v>#VALUE!</v>
      </c>
      <c r="Q8" s="13" t="e" vm="1">
        <f t="shared" si="6"/>
        <v>#VALUE!</v>
      </c>
      <c r="R8" s="13" t="e" vm="1">
        <f t="shared" si="6"/>
        <v>#VALUE!</v>
      </c>
      <c r="S8" s="13" t="e" vm="1">
        <f t="shared" si="6"/>
        <v>#VALUE!</v>
      </c>
      <c r="T8" s="13">
        <f t="shared" si="6"/>
        <v>0</v>
      </c>
      <c r="U8" s="13" t="e" vm="1">
        <f t="shared" si="6"/>
        <v>#VALUE!</v>
      </c>
      <c r="V8" s="13" t="e" vm="1">
        <f t="shared" si="6"/>
        <v>#VALUE!</v>
      </c>
      <c r="W8" s="13" t="e" vm="1">
        <f t="shared" si="6"/>
        <v>#VALUE!</v>
      </c>
    </row>
    <row r="9" spans="2:23" ht="23.25" customHeight="1">
      <c r="B9" s="12"/>
      <c r="C9" s="12" t="str">
        <f>IF(B9&lt;&gt;"",TEXT(
_xlfn.XLOOKUP(B9,วางข้อมูล!G:G,วางข้อมูล!E:E),
"d mmmm yyyy"
),"")</f>
        <v/>
      </c>
      <c r="D9" s="12" t="str">
        <f t="shared" si="0"/>
        <v/>
      </c>
      <c r="E9" s="11" t="str">
        <f t="array" ref="E9">IF(B9&lt;&gt;"",_xlfn.XLOOKUP(
1,
(วางข้อมูล!G:G=B9)*(วางข้อมูล!I:I=1),
วางข้อมูล!J:J,
"ไม่พบข้อมูล"
),"")</f>
        <v/>
      </c>
      <c r="F9" s="11" t="str">
        <f t="array" ref="F9">IF(B9&lt;&gt;"",_xlfn.XLOOKUP(
  1,
  (วางข้อมูล!G:G = B9) * (วางข้อมูล!I:I = 3),
  วางข้อมูล!J:J,
  "ไม่พบข้อมูล"
),"")</f>
        <v/>
      </c>
      <c r="G9" s="11" t="str">
        <f t="shared" si="1"/>
        <v/>
      </c>
      <c r="H9" s="11" t="str">
        <f t="shared" si="2"/>
        <v/>
      </c>
      <c r="I9" s="10" t="str">
        <f t="array" ref="I9">IF(B9&lt;&gt;"",_xlfn.XLOOKUP(B9,วางข้อมูล!G:G,LEFT(วางข้อมูล!N:N,10)),"")</f>
        <v/>
      </c>
      <c r="J9" s="12"/>
      <c r="K9" s="11" t="str">
        <f t="shared" si="3"/>
        <v/>
      </c>
      <c r="L9" s="11" t="str">
        <f t="shared" si="4"/>
        <v/>
      </c>
      <c r="M9" s="11" t="str">
        <f t="shared" si="5"/>
        <v/>
      </c>
    </row>
    <row r="10" spans="2:23" ht="23.25" customHeight="1">
      <c r="B10" s="12"/>
      <c r="C10" s="12" t="str">
        <f>IF(B10&lt;&gt;"",TEXT(
_xlfn.XLOOKUP(B10,วางข้อมูล!G:G,วางข้อมูล!E:E),
"d mmmm yyyy"
),"")</f>
        <v/>
      </c>
      <c r="D10" s="12" t="str">
        <f t="shared" si="0"/>
        <v/>
      </c>
      <c r="E10" s="11" t="str">
        <f t="array" ref="E10">IF(B10&lt;&gt;"",_xlfn.XLOOKUP(
1,
(วางข้อมูล!G:G=B10)*(วางข้อมูล!I:I=1),
วางข้อมูล!J:J,
"ไม่พบข้อมูล"
),"")</f>
        <v/>
      </c>
      <c r="F10" s="11" t="str">
        <f t="array" ref="F10">IF(B10&lt;&gt;"",_xlfn.XLOOKUP(
  1,
  (วางข้อมูล!G:G = B10) * (วางข้อมูล!I:I = 3),
  วางข้อมูล!J:J,
  "ไม่พบข้อมูล"
),"")</f>
        <v/>
      </c>
      <c r="G10" s="11" t="str">
        <f t="shared" si="1"/>
        <v/>
      </c>
      <c r="H10" s="11" t="str">
        <f t="shared" si="2"/>
        <v/>
      </c>
      <c r="I10" s="10" t="str">
        <f t="array" ref="I10">IF(B10&lt;&gt;"",_xlfn.XLOOKUP(B10,วางข้อมูล!G:G,LEFT(วางข้อมูล!N:N,10)),"")</f>
        <v/>
      </c>
      <c r="J10" s="12"/>
      <c r="K10" s="11" t="str">
        <f t="shared" si="3"/>
        <v/>
      </c>
      <c r="L10" s="11" t="str">
        <f t="shared" si="4"/>
        <v/>
      </c>
      <c r="M10" s="11" t="str">
        <f t="shared" si="5"/>
        <v/>
      </c>
    </row>
    <row r="11" spans="2:23" ht="23.25" customHeight="1">
      <c r="B11" s="12"/>
      <c r="C11" s="12" t="str">
        <f>IF(B11&lt;&gt;"",TEXT(
_xlfn.XLOOKUP(B11,วางข้อมูล!G:G,วางข้อมูล!E:E),
"d mmmm yyyy"
),"")</f>
        <v/>
      </c>
      <c r="D11" s="12" t="str">
        <f t="shared" si="0"/>
        <v/>
      </c>
      <c r="E11" s="11" t="str">
        <f t="array" ref="E11">IF(B11&lt;&gt;"",_xlfn.XLOOKUP(
1,
(วางข้อมูล!G:G=B11)*(วางข้อมูล!I:I=1),
วางข้อมูล!J:J,
"ไม่พบข้อมูล"
),"")</f>
        <v/>
      </c>
      <c r="F11" s="11" t="str">
        <f t="array" ref="F11">IF(B11&lt;&gt;"",_xlfn.XLOOKUP(
  1,
  (วางข้อมูล!G:G = B11) * (วางข้อมูล!I:I = 3),
  วางข้อมูล!J:J,
  "ไม่พบข้อมูล"
),"")</f>
        <v/>
      </c>
      <c r="G11" s="11" t="str">
        <f t="shared" si="1"/>
        <v/>
      </c>
      <c r="H11" s="11" t="str">
        <f t="shared" si="2"/>
        <v/>
      </c>
      <c r="I11" s="10" t="str">
        <f t="array" ref="I11">IF(B11&lt;&gt;"",_xlfn.XLOOKUP(B11,วางข้อมูล!G:G,LEFT(วางข้อมูล!N:N,10)),"")</f>
        <v/>
      </c>
      <c r="J11" s="12"/>
      <c r="K11" s="11" t="str">
        <f t="shared" si="3"/>
        <v/>
      </c>
      <c r="L11" s="11" t="str">
        <f t="shared" si="4"/>
        <v/>
      </c>
      <c r="M11" s="11" t="str">
        <f t="shared" si="5"/>
        <v/>
      </c>
      <c r="R11" s="16"/>
    </row>
    <row r="12" spans="2:23" ht="23.25" customHeight="1">
      <c r="B12" s="12"/>
      <c r="C12" s="12" t="str">
        <f>IF(B12&lt;&gt;"",TEXT(
_xlfn.XLOOKUP(B12,วางข้อมูล!G:G,วางข้อมูล!E:E),
"d mmmm yyyy"
),"")</f>
        <v/>
      </c>
      <c r="D12" s="12" t="str">
        <f t="shared" si="0"/>
        <v/>
      </c>
      <c r="E12" s="11" t="str">
        <f t="array" ref="E12">IF(B12&lt;&gt;"",_xlfn.XLOOKUP(
1,
(วางข้อมูล!G:G=B12)*(วางข้อมูล!I:I=1),
วางข้อมูล!J:J,
"ไม่พบข้อมูล"
),"")</f>
        <v/>
      </c>
      <c r="F12" s="11" t="str">
        <f t="array" ref="F12">IF(B12&lt;&gt;"",_xlfn.XLOOKUP(
  1,
  (วางข้อมูล!G:G = B12) * (วางข้อมูล!I:I = 3),
  วางข้อมูล!J:J,
  "ไม่พบข้อมูล"
),"")</f>
        <v/>
      </c>
      <c r="G12" s="11" t="str">
        <f t="shared" si="1"/>
        <v/>
      </c>
      <c r="H12" s="11" t="str">
        <f t="shared" si="2"/>
        <v/>
      </c>
      <c r="I12" s="10" t="str">
        <f t="array" ref="I12">IF(B12&lt;&gt;"",_xlfn.XLOOKUP(B12,วางข้อมูล!G:G,LEFT(วางข้อมูล!N:N,10)),"")</f>
        <v/>
      </c>
      <c r="J12" s="12"/>
      <c r="K12" s="11" t="str">
        <f t="shared" si="3"/>
        <v/>
      </c>
      <c r="L12" s="11" t="str">
        <f t="shared" si="4"/>
        <v/>
      </c>
      <c r="M12" s="11" t="str">
        <f t="shared" si="5"/>
        <v/>
      </c>
    </row>
    <row r="13" spans="2:23" ht="23.25" customHeight="1">
      <c r="B13" s="12"/>
      <c r="C13" s="12" t="str">
        <f>IF(B13&lt;&gt;"",TEXT(
_xlfn.XLOOKUP(B13,วางข้อมูล!G:G,วางข้อมูล!E:E),
"d mmmm yyyy"
),"")</f>
        <v/>
      </c>
      <c r="D13" s="12" t="str">
        <f t="shared" si="0"/>
        <v/>
      </c>
      <c r="E13" s="11" t="str">
        <f t="array" ref="E13">IF(B13&lt;&gt;"",_xlfn.XLOOKUP(
1,
(วางข้อมูล!G:G=B13)*(วางข้อมูล!I:I=1),
วางข้อมูล!J:J,
"ไม่พบข้อมูล"
),"")</f>
        <v/>
      </c>
      <c r="F13" s="11" t="str">
        <f t="array" ref="F13">IF(B13&lt;&gt;"",_xlfn.XLOOKUP(
  1,
  (วางข้อมูล!G:G = B13) * (วางข้อมูล!I:I = 3),
  วางข้อมูล!J:J,
  "ไม่พบข้อมูล"
),"")</f>
        <v/>
      </c>
      <c r="G13" s="11" t="str">
        <f t="shared" si="1"/>
        <v/>
      </c>
      <c r="H13" s="11" t="str">
        <f t="shared" si="2"/>
        <v/>
      </c>
      <c r="I13" s="10" t="str">
        <f t="array" ref="I13">IF(B13&lt;&gt;"",_xlfn.XLOOKUP(B13,วางข้อมูล!G:G,LEFT(วางข้อมูล!N:N,10)),"")</f>
        <v/>
      </c>
      <c r="J13" s="12"/>
      <c r="K13" s="11" t="str">
        <f t="shared" si="3"/>
        <v/>
      </c>
      <c r="L13" s="11" t="str">
        <f t="shared" si="4"/>
        <v/>
      </c>
      <c r="M13" s="11" t="str">
        <f t="shared" si="5"/>
        <v/>
      </c>
    </row>
    <row r="14" spans="2:23" ht="23.25" customHeight="1">
      <c r="B14" s="12"/>
      <c r="C14" s="12" t="str">
        <f>IF(B14&lt;&gt;"",TEXT(
_xlfn.XLOOKUP(B14,วางข้อมูล!G:G,วางข้อมูล!E:E),
"d mmmm yyyy"
),"")</f>
        <v/>
      </c>
      <c r="D14" s="12" t="str">
        <f t="shared" si="0"/>
        <v/>
      </c>
      <c r="E14" s="11" t="str">
        <f t="array" ref="E14">IF(B14&lt;&gt;"",_xlfn.XLOOKUP(
1,
(วางข้อมูล!G:G=B14)*(วางข้อมูล!I:I=1),
วางข้อมูล!J:J,
"ไม่พบข้อมูล"
),"")</f>
        <v/>
      </c>
      <c r="F14" s="11" t="str">
        <f t="array" ref="F14">IF(B14&lt;&gt;"",_xlfn.XLOOKUP(
  1,
  (วางข้อมูล!G:G = B14) * (วางข้อมูล!I:I = 3),
  วางข้อมูล!J:J,
  "ไม่พบข้อมูล"
),"")</f>
        <v/>
      </c>
      <c r="G14" s="11" t="str">
        <f t="shared" si="1"/>
        <v/>
      </c>
      <c r="H14" s="11" t="str">
        <f t="shared" si="2"/>
        <v/>
      </c>
      <c r="I14" s="10" t="str">
        <f t="array" ref="I14">IF(B14&lt;&gt;"",_xlfn.XLOOKUP(B14,วางข้อมูล!G:G,LEFT(วางข้อมูล!N:N,10)),"")</f>
        <v/>
      </c>
      <c r="J14" s="12"/>
      <c r="K14" s="11" t="str">
        <f t="shared" si="3"/>
        <v/>
      </c>
      <c r="L14" s="11" t="str">
        <f t="shared" si="4"/>
        <v/>
      </c>
      <c r="M14" s="11" t="str">
        <f t="shared" si="5"/>
        <v/>
      </c>
    </row>
    <row r="15" spans="2:23" ht="23.25" customHeight="1">
      <c r="B15" s="12"/>
      <c r="C15" s="12" t="str">
        <f>IF(B15&lt;&gt;"",TEXT(
_xlfn.XLOOKUP(B15,วางข้อมูล!G:G,วางข้อมูล!E:E),
"d mmmm yyyy"
),"")</f>
        <v/>
      </c>
      <c r="D15" s="12" t="str">
        <f t="shared" si="0"/>
        <v/>
      </c>
      <c r="E15" s="11" t="str">
        <f t="array" ref="E15">IF(B15&lt;&gt;"",_xlfn.XLOOKUP(
1,
(วางข้อมูล!G:G=B15)*(วางข้อมูล!I:I=1),
วางข้อมูล!J:J,
"ไม่พบข้อมูล"
),"")</f>
        <v/>
      </c>
      <c r="F15" s="11" t="str">
        <f t="array" ref="F15">IF(B15&lt;&gt;"",_xlfn.XLOOKUP(
  1,
  (วางข้อมูล!G:G = B15) * (วางข้อมูล!I:I = 3),
  วางข้อมูล!J:J,
  "ไม่พบข้อมูล"
),"")</f>
        <v/>
      </c>
      <c r="G15" s="11" t="str">
        <f t="shared" si="1"/>
        <v/>
      </c>
      <c r="H15" s="11" t="str">
        <f t="shared" si="2"/>
        <v/>
      </c>
      <c r="I15" s="10" t="str">
        <f t="array" ref="I15">IF(B15&lt;&gt;"",_xlfn.XLOOKUP(B15,วางข้อมูล!G:G,LEFT(วางข้อมูล!N:N,10)),"")</f>
        <v/>
      </c>
      <c r="J15" s="12"/>
      <c r="K15" s="11" t="str">
        <f t="shared" si="3"/>
        <v/>
      </c>
      <c r="L15" s="11" t="str">
        <f t="shared" si="4"/>
        <v/>
      </c>
      <c r="M15" s="11" t="str">
        <f t="shared" si="5"/>
        <v/>
      </c>
    </row>
    <row r="16" spans="2:23" ht="23.25" customHeight="1">
      <c r="B16" s="12"/>
      <c r="C16" s="12" t="str">
        <f>IF(B16&lt;&gt;"",TEXT(
_xlfn.XLOOKUP(B16,วางข้อมูล!G:G,วางข้อมูล!E:E),
"d mmmm yyyy"
),"")</f>
        <v/>
      </c>
      <c r="D16" s="12" t="str">
        <f t="shared" si="0"/>
        <v/>
      </c>
      <c r="E16" s="11" t="str">
        <f t="array" ref="E16">IF(B16&lt;&gt;"",_xlfn.XLOOKUP(
1,
(วางข้อมูล!G:G=B16)*(วางข้อมูล!I:I=1),
วางข้อมูล!J:J,
"ไม่พบข้อมูล"
),"")</f>
        <v/>
      </c>
      <c r="F16" s="11" t="str">
        <f t="array" ref="F16">IF(B16&lt;&gt;"",_xlfn.XLOOKUP(
  1,
  (วางข้อมูล!G:G = B16) * (วางข้อมูล!I:I = 3),
  วางข้อมูล!J:J,
  "ไม่พบข้อมูล"
),"")</f>
        <v/>
      </c>
      <c r="G16" s="11" t="str">
        <f t="shared" si="1"/>
        <v/>
      </c>
      <c r="H16" s="11" t="str">
        <f t="shared" si="2"/>
        <v/>
      </c>
      <c r="I16" s="10" t="str">
        <f t="array" ref="I16">IF(B16&lt;&gt;"",_xlfn.XLOOKUP(B16,วางข้อมูล!G:G,LEFT(วางข้อมูล!N:N,10)),"")</f>
        <v/>
      </c>
      <c r="J16" s="12"/>
      <c r="K16" s="11" t="str">
        <f t="shared" si="3"/>
        <v/>
      </c>
      <c r="L16" s="11" t="str">
        <f t="shared" si="4"/>
        <v/>
      </c>
      <c r="M16" s="11" t="str">
        <f t="shared" si="5"/>
        <v/>
      </c>
    </row>
    <row r="17" spans="2:13" ht="23.25" customHeight="1">
      <c r="B17" s="12"/>
      <c r="C17" s="12" t="str">
        <f>IF(B17&lt;&gt;"",TEXT(
_xlfn.XLOOKUP(B17,วางข้อมูล!G:G,วางข้อมูล!E:E),
"d mmmm yyyy"
),"")</f>
        <v/>
      </c>
      <c r="D17" s="12" t="str">
        <f t="shared" si="0"/>
        <v/>
      </c>
      <c r="E17" s="11" t="str">
        <f t="array" ref="E17">IF(B17&lt;&gt;"",_xlfn.XLOOKUP(
1,
(วางข้อมูล!G:G=B17)*(วางข้อมูล!I:I=1),
วางข้อมูล!J:J,
"ไม่พบข้อมูล"
),"")</f>
        <v/>
      </c>
      <c r="F17" s="11" t="str">
        <f t="array" ref="F17">IF(B17&lt;&gt;"",_xlfn.XLOOKUP(
  1,
  (วางข้อมูล!G:G = B17) * (วางข้อมูล!I:I = 3),
  วางข้อมูล!J:J,
  "ไม่พบข้อมูล"
),"")</f>
        <v/>
      </c>
      <c r="G17" s="11" t="str">
        <f t="shared" si="1"/>
        <v/>
      </c>
      <c r="H17" s="11" t="str">
        <f t="shared" si="2"/>
        <v/>
      </c>
      <c r="I17" s="10" t="str">
        <f t="array" ref="I17">IF(B17&lt;&gt;"",_xlfn.XLOOKUP(B17,วางข้อมูล!G:G,LEFT(วางข้อมูล!N:N,10)),"")</f>
        <v/>
      </c>
      <c r="J17" s="12"/>
      <c r="K17" s="11" t="str">
        <f t="shared" si="3"/>
        <v/>
      </c>
      <c r="L17" s="11" t="str">
        <f t="shared" si="4"/>
        <v/>
      </c>
      <c r="M17" s="11" t="str">
        <f t="shared" si="5"/>
        <v/>
      </c>
    </row>
    <row r="18" spans="2:13" ht="23.25" customHeight="1">
      <c r="B18" s="12"/>
      <c r="C18" s="12" t="str">
        <f>IF(B18&lt;&gt;"",TEXT(
_xlfn.XLOOKUP(B18,วางข้อมูล!G:G,วางข้อมูล!E:E),
"d mmmm yyyy"
),"")</f>
        <v/>
      </c>
      <c r="D18" s="12" t="str">
        <f t="shared" si="0"/>
        <v/>
      </c>
      <c r="E18" s="11" t="str">
        <f t="array" ref="E18">IF(B18&lt;&gt;"",_xlfn.XLOOKUP(
1,
(วางข้อมูล!G:G=B18)*(วางข้อมูล!I:I=1),
วางข้อมูล!J:J,
"ไม่พบข้อมูล"
),"")</f>
        <v/>
      </c>
      <c r="F18" s="11" t="str">
        <f t="array" ref="F18">IF(B18&lt;&gt;"",_xlfn.XLOOKUP(
  1,
  (วางข้อมูล!G:G = B18) * (วางข้อมูล!I:I = 3),
  วางข้อมูล!J:J,
  "ไม่พบข้อมูล"
),"")</f>
        <v/>
      </c>
      <c r="G18" s="11" t="str">
        <f t="shared" si="1"/>
        <v/>
      </c>
      <c r="H18" s="11" t="str">
        <f t="shared" si="2"/>
        <v/>
      </c>
      <c r="I18" s="10" t="str">
        <f t="array" ref="I18">IF(B18&lt;&gt;"",_xlfn.XLOOKUP(B18,วางข้อมูล!G:G,LEFT(วางข้อมูล!N:N,10)),"")</f>
        <v/>
      </c>
      <c r="J18" s="12"/>
      <c r="K18" s="11" t="str">
        <f t="shared" si="3"/>
        <v/>
      </c>
      <c r="L18" s="11" t="str">
        <f t="shared" si="4"/>
        <v/>
      </c>
      <c r="M18" s="11" t="str">
        <f t="shared" si="5"/>
        <v/>
      </c>
    </row>
    <row r="19" spans="2:13" ht="23.25" customHeight="1">
      <c r="B19" s="12"/>
      <c r="C19" s="12" t="str">
        <f>IF(B19&lt;&gt;"",TEXT(
_xlfn.XLOOKUP(B19,วางข้อมูล!G:G,วางข้อมูล!E:E),
"d mmmm yyyy"
),"")</f>
        <v/>
      </c>
      <c r="D19" s="12" t="str">
        <f t="shared" si="0"/>
        <v/>
      </c>
      <c r="E19" s="11" t="str">
        <f t="array" ref="E19">IF(B19&lt;&gt;"",_xlfn.XLOOKUP(
1,
(วางข้อมูล!G:G=B19)*(วางข้อมูล!I:I=1),
วางข้อมูล!J:J,
"ไม่พบข้อมูล"
),"")</f>
        <v/>
      </c>
      <c r="F19" s="11" t="str">
        <f t="array" ref="F19">IF(B19&lt;&gt;"",_xlfn.XLOOKUP(
  1,
  (วางข้อมูล!G:G = B19) * (วางข้อมูล!I:I = 3),
  วางข้อมูล!J:J,
  "ไม่พบข้อมูล"
),"")</f>
        <v/>
      </c>
      <c r="G19" s="11" t="str">
        <f t="shared" si="1"/>
        <v/>
      </c>
      <c r="H19" s="11" t="str">
        <f t="shared" si="2"/>
        <v/>
      </c>
      <c r="I19" s="10" t="str">
        <f t="array" ref="I19">IF(B19&lt;&gt;"",_xlfn.XLOOKUP(B19,วางข้อมูล!G:G,LEFT(วางข้อมูล!N:N,10)),"")</f>
        <v/>
      </c>
      <c r="J19" s="12"/>
      <c r="K19" s="11" t="str">
        <f t="shared" si="3"/>
        <v/>
      </c>
      <c r="L19" s="11" t="str">
        <f t="shared" si="4"/>
        <v/>
      </c>
      <c r="M19" s="11" t="str">
        <f t="shared" si="5"/>
        <v/>
      </c>
    </row>
    <row r="20" spans="2:13" ht="23.25" customHeight="1">
      <c r="B20" s="12"/>
      <c r="C20" s="12" t="str">
        <f>IF(B20&lt;&gt;"",TEXT(
_xlfn.XLOOKUP(B20,วางข้อมูล!G:G,วางข้อมูล!E:E),
"d mmmm yyyy"
),"")</f>
        <v/>
      </c>
      <c r="D20" s="12" t="str">
        <f t="shared" si="0"/>
        <v/>
      </c>
      <c r="E20" s="11" t="str">
        <f t="array" ref="E20">IF(B20&lt;&gt;"",_xlfn.XLOOKUP(
1,
(วางข้อมูล!G:G=B20)*(วางข้อมูล!I:I=1),
วางข้อมูล!J:J,
"ไม่พบข้อมูล"
),"")</f>
        <v/>
      </c>
      <c r="F20" s="11" t="str">
        <f t="array" ref="F20">IF(B20&lt;&gt;"",_xlfn.XLOOKUP(
  1,
  (วางข้อมูล!G:G = B20) * (วางข้อมูล!I:I = 3),
  วางข้อมูล!J:J,
  "ไม่พบข้อมูล"
),"")</f>
        <v/>
      </c>
      <c r="G20" s="11" t="str">
        <f t="shared" si="1"/>
        <v/>
      </c>
      <c r="H20" s="11" t="str">
        <f t="shared" si="2"/>
        <v/>
      </c>
      <c r="I20" s="10" t="str">
        <f t="array" ref="I20">IF(B20&lt;&gt;"",_xlfn.XLOOKUP(B20,วางข้อมูล!G:G,LEFT(วางข้อมูล!N:N,10)),"")</f>
        <v/>
      </c>
      <c r="J20" s="12"/>
      <c r="K20" s="11" t="str">
        <f t="shared" si="3"/>
        <v/>
      </c>
      <c r="L20" s="11" t="str">
        <f t="shared" si="4"/>
        <v/>
      </c>
      <c r="M20" s="11" t="str">
        <f t="shared" si="5"/>
        <v/>
      </c>
    </row>
    <row r="21" spans="2:13" ht="23.25" customHeight="1">
      <c r="B21" s="12"/>
      <c r="C21" s="12" t="str">
        <f>IF(B21&lt;&gt;"",TEXT(
_xlfn.XLOOKUP(B21,วางข้อมูล!G:G,วางข้อมูล!E:E),
"d mmmm yyyy"
),"")</f>
        <v/>
      </c>
      <c r="D21" s="12" t="str">
        <f t="shared" si="0"/>
        <v/>
      </c>
      <c r="E21" s="11" t="str">
        <f t="array" ref="E21">IF(B21&lt;&gt;"",_xlfn.XLOOKUP(
1,
(วางข้อมูล!G:G=B21)*(วางข้อมูล!I:I=1),
วางข้อมูล!J:J,
"ไม่พบข้อมูล"
),"")</f>
        <v/>
      </c>
      <c r="F21" s="11" t="str">
        <f t="array" ref="F21">IF(B21&lt;&gt;"",_xlfn.XLOOKUP(
  1,
  (วางข้อมูล!G:G = B21) * (วางข้อมูล!I:I = 3),
  วางข้อมูล!J:J,
  "ไม่พบข้อมูล"
),"")</f>
        <v/>
      </c>
      <c r="G21" s="11" t="str">
        <f t="shared" si="1"/>
        <v/>
      </c>
      <c r="H21" s="11" t="str">
        <f t="shared" si="2"/>
        <v/>
      </c>
      <c r="I21" s="10" t="str">
        <f t="array" ref="I21">IF(B21&lt;&gt;"",_xlfn.XLOOKUP(B21,วางข้อมูล!G:G,LEFT(วางข้อมูล!N:N,10)),"")</f>
        <v/>
      </c>
      <c r="J21" s="12"/>
      <c r="K21" s="11" t="str">
        <f t="shared" si="3"/>
        <v/>
      </c>
      <c r="L21" s="11" t="str">
        <f t="shared" si="4"/>
        <v/>
      </c>
      <c r="M21" s="11" t="str">
        <f t="shared" si="5"/>
        <v/>
      </c>
    </row>
    <row r="22" spans="2:13" ht="23.25" customHeight="1">
      <c r="B22" s="12"/>
      <c r="C22" s="12" t="str">
        <f>IF(B22&lt;&gt;"",TEXT(
_xlfn.XLOOKUP(B22,วางข้อมูล!G:G,วางข้อมูล!E:E),
"d mmmm yyyy"
),"")</f>
        <v/>
      </c>
      <c r="D22" s="12" t="str">
        <f t="shared" si="0"/>
        <v/>
      </c>
      <c r="E22" s="11" t="str">
        <f t="array" ref="E22">IF(B22&lt;&gt;"",_xlfn.XLOOKUP(
1,
(วางข้อมูล!G:G=B22)*(วางข้อมูล!I:I=1),
วางข้อมูล!J:J,
"ไม่พบข้อมูล"
),"")</f>
        <v/>
      </c>
      <c r="F22" s="11" t="str">
        <f t="array" ref="F22">IF(B22&lt;&gt;"",_xlfn.XLOOKUP(
  1,
  (วางข้อมูล!G:G = B22) * (วางข้อมูล!I:I = 3),
  วางข้อมูล!J:J,
  "ไม่พบข้อมูล"
),"")</f>
        <v/>
      </c>
      <c r="G22" s="11" t="str">
        <f t="shared" si="1"/>
        <v/>
      </c>
      <c r="H22" s="11" t="str">
        <f t="shared" si="2"/>
        <v/>
      </c>
      <c r="I22" s="10" t="str">
        <f t="array" ref="I22">IF(B22&lt;&gt;"",_xlfn.XLOOKUP(B22,วางข้อมูล!G:G,LEFT(วางข้อมูล!N:N,10)),"")</f>
        <v/>
      </c>
      <c r="J22" s="12"/>
      <c r="K22" s="11" t="str">
        <f t="shared" si="3"/>
        <v/>
      </c>
      <c r="L22" s="11" t="str">
        <f t="shared" si="4"/>
        <v/>
      </c>
      <c r="M22" s="11" t="str">
        <f t="shared" si="5"/>
        <v/>
      </c>
    </row>
    <row r="23" spans="2:13" ht="23.25" customHeight="1">
      <c r="B23" s="12"/>
      <c r="C23" s="12" t="str">
        <f>IF(B23&lt;&gt;"",TEXT(
_xlfn.XLOOKUP(B23,วางข้อมูล!G:G,วางข้อมูล!E:E),
"d mmmm yyyy"
),"")</f>
        <v/>
      </c>
      <c r="D23" s="12" t="str">
        <f t="shared" si="0"/>
        <v/>
      </c>
      <c r="E23" s="11" t="str">
        <f t="array" ref="E23">IF(B23&lt;&gt;"",_xlfn.XLOOKUP(
1,
(วางข้อมูล!G:G=B23)*(วางข้อมูล!I:I=1),
วางข้อมูล!J:J,
"ไม่พบข้อมูล"
),"")</f>
        <v/>
      </c>
      <c r="F23" s="11" t="str">
        <f t="array" ref="F23">IF(B23&lt;&gt;"",_xlfn.XLOOKUP(
  1,
  (วางข้อมูล!G:G = B23) * (วางข้อมูล!I:I = 3),
  วางข้อมูล!J:J,
  "ไม่พบข้อมูล"
),"")</f>
        <v/>
      </c>
      <c r="G23" s="11" t="str">
        <f t="shared" si="1"/>
        <v/>
      </c>
      <c r="H23" s="11" t="str">
        <f t="shared" si="2"/>
        <v/>
      </c>
      <c r="I23" s="10" t="str">
        <f t="array" ref="I23">IF(B23&lt;&gt;"",_xlfn.XLOOKUP(B23,วางข้อมูล!G:G,LEFT(วางข้อมูล!N:N,10)),"")</f>
        <v/>
      </c>
      <c r="J23" s="12"/>
      <c r="K23" s="11" t="str">
        <f t="shared" si="3"/>
        <v/>
      </c>
      <c r="L23" s="11" t="str">
        <f t="shared" si="4"/>
        <v/>
      </c>
      <c r="M23" s="11" t="str">
        <f t="shared" si="5"/>
        <v/>
      </c>
    </row>
    <row r="24" spans="2:13" ht="23.25" customHeight="1">
      <c r="B24" s="12"/>
      <c r="C24" s="12" t="str">
        <f>IF(B24&lt;&gt;"",TEXT(
_xlfn.XLOOKUP(B24,วางข้อมูล!G:G,วางข้อมูล!E:E),
"d mmmm yyyy"
),"")</f>
        <v/>
      </c>
      <c r="D24" s="12" t="str">
        <f t="shared" si="0"/>
        <v/>
      </c>
      <c r="E24" s="11" t="str">
        <f t="array" ref="E24">IF(B24&lt;&gt;"",_xlfn.XLOOKUP(
1,
(วางข้อมูล!G:G=B24)*(วางข้อมูล!I:I=1),
วางข้อมูล!J:J,
"ไม่พบข้อมูล"
),"")</f>
        <v/>
      </c>
      <c r="F24" s="11" t="str">
        <f t="array" ref="F24">IF(B24&lt;&gt;"",_xlfn.XLOOKUP(
  1,
  (วางข้อมูล!G:G = B24) * (วางข้อมูล!I:I = 3),
  วางข้อมูล!J:J,
  "ไม่พบข้อมูล"
),"")</f>
        <v/>
      </c>
      <c r="G24" s="11" t="str">
        <f t="shared" si="1"/>
        <v/>
      </c>
      <c r="H24" s="11" t="str">
        <f t="shared" si="2"/>
        <v/>
      </c>
      <c r="I24" s="10" t="str">
        <f t="array" ref="I24">IF(B24&lt;&gt;"",_xlfn.XLOOKUP(B24,วางข้อมูล!G:G,LEFT(วางข้อมูล!N:N,10)),"")</f>
        <v/>
      </c>
      <c r="J24" s="12"/>
      <c r="K24" s="11" t="str">
        <f t="shared" si="3"/>
        <v/>
      </c>
      <c r="L24" s="11" t="str">
        <f t="shared" si="4"/>
        <v/>
      </c>
      <c r="M24" s="11" t="str">
        <f t="shared" si="5"/>
        <v/>
      </c>
    </row>
    <row r="25" spans="2:13" ht="23.25" customHeight="1">
      <c r="B25" s="12"/>
      <c r="C25" s="12" t="str">
        <f>IF(B25&lt;&gt;"",TEXT(
_xlfn.XLOOKUP(B25,วางข้อมูล!G:G,วางข้อมูล!E:E),
"d mmmm yyyy"
),"")</f>
        <v/>
      </c>
      <c r="D25" s="12" t="str">
        <f t="shared" si="0"/>
        <v/>
      </c>
      <c r="E25" s="11" t="str">
        <f t="array" ref="E25">IF(B25&lt;&gt;"",_xlfn.XLOOKUP(
1,
(วางข้อมูล!G:G=B25)*(วางข้อมูล!I:I=1),
วางข้อมูล!J:J,
"ไม่พบข้อมูล"
),"")</f>
        <v/>
      </c>
      <c r="F25" s="11" t="str">
        <f t="array" ref="F25">IF(B25&lt;&gt;"",_xlfn.XLOOKUP(
  1,
  (วางข้อมูล!G:G = B25) * (วางข้อมูล!I:I = 3),
  วางข้อมูล!J:J,
  "ไม่พบข้อมูล"
),"")</f>
        <v/>
      </c>
      <c r="G25" s="11" t="str">
        <f t="shared" si="1"/>
        <v/>
      </c>
      <c r="H25" s="11" t="str">
        <f t="shared" si="2"/>
        <v/>
      </c>
      <c r="I25" s="10" t="str">
        <f t="array" ref="I25">IF(B25&lt;&gt;"",_xlfn.XLOOKUP(B25,วางข้อมูล!G:G,LEFT(วางข้อมูล!N:N,10)),"")</f>
        <v/>
      </c>
      <c r="J25" s="12"/>
      <c r="K25" s="11" t="str">
        <f t="shared" si="3"/>
        <v/>
      </c>
      <c r="L25" s="11" t="str">
        <f t="shared" si="4"/>
        <v/>
      </c>
      <c r="M25" s="11" t="str">
        <f t="shared" si="5"/>
        <v/>
      </c>
    </row>
    <row r="26" spans="2:13" ht="23.25" customHeight="1">
      <c r="B26" s="12"/>
      <c r="C26" s="12" t="str">
        <f>IF(B26&lt;&gt;"",TEXT(
_xlfn.XLOOKUP(B26,วางข้อมูล!G:G,วางข้อมูล!E:E),
"d mmmm yyyy"
),"")</f>
        <v/>
      </c>
      <c r="D26" s="12" t="str">
        <f t="shared" si="0"/>
        <v/>
      </c>
      <c r="E26" s="11" t="str">
        <f t="array" ref="E26">IF(B26&lt;&gt;"",_xlfn.XLOOKUP(
1,
(วางข้อมูล!G:G=B26)*(วางข้อมูล!I:I=1),
วางข้อมูล!J:J,
"ไม่พบข้อมูล"
),"")</f>
        <v/>
      </c>
      <c r="F26" s="11" t="str">
        <f t="array" ref="F26">IF(B26&lt;&gt;"",_xlfn.XLOOKUP(
  1,
  (วางข้อมูล!G:G = B26) * (วางข้อมูล!I:I = 3),
  วางข้อมูล!J:J,
  "ไม่พบข้อมูล"
),"")</f>
        <v/>
      </c>
      <c r="G26" s="11" t="str">
        <f t="shared" si="1"/>
        <v/>
      </c>
      <c r="H26" s="11" t="str">
        <f t="shared" si="2"/>
        <v/>
      </c>
      <c r="I26" s="10" t="str">
        <f t="array" ref="I26">IF(B26&lt;&gt;"",_xlfn.XLOOKUP(B26,วางข้อมูล!G:G,LEFT(วางข้อมูล!N:N,10)),"")</f>
        <v/>
      </c>
      <c r="J26" s="12"/>
      <c r="K26" s="11" t="str">
        <f t="shared" si="3"/>
        <v/>
      </c>
      <c r="L26" s="11" t="str">
        <f t="shared" si="4"/>
        <v/>
      </c>
      <c r="M26" s="11" t="str">
        <f t="shared" si="5"/>
        <v/>
      </c>
    </row>
    <row r="27" spans="2:13" ht="23.25" customHeight="1">
      <c r="B27" s="12"/>
      <c r="C27" s="12" t="str">
        <f>IF(B27&lt;&gt;"",TEXT(
_xlfn.XLOOKUP(B27,วางข้อมูล!G:G,วางข้อมูล!E:E),
"d mmmm yyyy"
),"")</f>
        <v/>
      </c>
      <c r="D27" s="12" t="str">
        <f t="shared" si="0"/>
        <v/>
      </c>
      <c r="E27" s="11" t="str">
        <f t="array" ref="E27">IF(B27&lt;&gt;"",_xlfn.XLOOKUP(
1,
(วางข้อมูล!G:G=B27)*(วางข้อมูล!I:I=1),
วางข้อมูล!J:J,
"ไม่พบข้อมูล"
),"")</f>
        <v/>
      </c>
      <c r="F27" s="11" t="str">
        <f t="array" ref="F27">IF(B27&lt;&gt;"",_xlfn.XLOOKUP(
  1,
  (วางข้อมูล!G:G = B27) * (วางข้อมูล!I:I = 3),
  วางข้อมูล!J:J,
  "ไม่พบข้อมูล"
),"")</f>
        <v/>
      </c>
      <c r="G27" s="11" t="str">
        <f t="shared" si="1"/>
        <v/>
      </c>
      <c r="H27" s="11" t="str">
        <f t="shared" si="2"/>
        <v/>
      </c>
      <c r="I27" s="10" t="str">
        <f t="array" ref="I27">IF(B27&lt;&gt;"",_xlfn.XLOOKUP(B27,วางข้อมูล!G:G,LEFT(วางข้อมูล!N:N,10)),"")</f>
        <v/>
      </c>
      <c r="J27" s="12"/>
      <c r="K27" s="11" t="str">
        <f t="shared" si="3"/>
        <v/>
      </c>
      <c r="L27" s="11" t="str">
        <f t="shared" si="4"/>
        <v/>
      </c>
      <c r="M27" s="11" t="str">
        <f t="shared" si="5"/>
        <v/>
      </c>
    </row>
    <row r="28" spans="2:13" ht="23.25" customHeight="1">
      <c r="B28" s="12"/>
      <c r="C28" s="12" t="str">
        <f>IF(B28&lt;&gt;"",TEXT(
_xlfn.XLOOKUP(B28,วางข้อมูล!G:G,วางข้อมูล!E:E),
"d mmmm yyyy"
),"")</f>
        <v/>
      </c>
      <c r="D28" s="12" t="str">
        <f t="shared" si="0"/>
        <v/>
      </c>
      <c r="E28" s="11" t="str">
        <f t="array" ref="E28">IF(B28&lt;&gt;"",_xlfn.XLOOKUP(
1,
(วางข้อมูล!G:G=B28)*(วางข้อมูล!I:I=1),
วางข้อมูล!J:J,
"ไม่พบข้อมูล"
),"")</f>
        <v/>
      </c>
      <c r="F28" s="11" t="str">
        <f t="array" ref="F28">IF(B28&lt;&gt;"",_xlfn.XLOOKUP(
  1,
  (วางข้อมูล!G:G = B28) * (วางข้อมูล!I:I = 3),
  วางข้อมูล!J:J,
  "ไม่พบข้อมูล"
),"")</f>
        <v/>
      </c>
      <c r="G28" s="11" t="str">
        <f t="shared" si="1"/>
        <v/>
      </c>
      <c r="H28" s="11" t="str">
        <f t="shared" si="2"/>
        <v/>
      </c>
      <c r="I28" s="10" t="str">
        <f t="array" ref="I28">IF(B28&lt;&gt;"",_xlfn.XLOOKUP(B28,วางข้อมูล!G:G,LEFT(วางข้อมูล!N:N,10)),"")</f>
        <v/>
      </c>
      <c r="J28" s="12"/>
      <c r="K28" s="11" t="str">
        <f t="shared" si="3"/>
        <v/>
      </c>
      <c r="L28" s="11" t="str">
        <f t="shared" si="4"/>
        <v/>
      </c>
      <c r="M28" s="11" t="str">
        <f t="shared" si="5"/>
        <v/>
      </c>
    </row>
    <row r="29" spans="2:13" ht="23.25" customHeight="1">
      <c r="B29" s="12"/>
      <c r="C29" s="12" t="str">
        <f>IF(B29&lt;&gt;"",TEXT(
_xlfn.XLOOKUP(B29,วางข้อมูล!G:G,วางข้อมูล!E:E),
"d mmmm yyyy"
),"")</f>
        <v/>
      </c>
      <c r="D29" s="12" t="str">
        <f t="shared" si="0"/>
        <v/>
      </c>
      <c r="E29" s="11" t="str">
        <f t="array" ref="E29">IF(B29&lt;&gt;"",_xlfn.XLOOKUP(
1,
(วางข้อมูล!G:G=B29)*(วางข้อมูล!I:I=1),
วางข้อมูล!J:J,
"ไม่พบข้อมูล"
),"")</f>
        <v/>
      </c>
      <c r="F29" s="11" t="str">
        <f t="array" ref="F29">IF(B29&lt;&gt;"",_xlfn.XLOOKUP(
  1,
  (วางข้อมูล!G:G = B29) * (วางข้อมูล!I:I = 3),
  วางข้อมูล!J:J,
  "ไม่พบข้อมูล"
),"")</f>
        <v/>
      </c>
      <c r="G29" s="11" t="str">
        <f t="shared" si="1"/>
        <v/>
      </c>
      <c r="H29" s="11" t="str">
        <f t="shared" si="2"/>
        <v/>
      </c>
      <c r="I29" s="10" t="str">
        <f t="array" ref="I29">IF(B29&lt;&gt;"",_xlfn.XLOOKUP(B29,วางข้อมูล!G:G,LEFT(วางข้อมูล!N:N,10)),"")</f>
        <v/>
      </c>
      <c r="J29" s="12"/>
      <c r="K29" s="11" t="str">
        <f t="shared" si="3"/>
        <v/>
      </c>
      <c r="L29" s="11" t="str">
        <f t="shared" si="4"/>
        <v/>
      </c>
      <c r="M29" s="11" t="str">
        <f t="shared" si="5"/>
        <v/>
      </c>
    </row>
    <row r="30" spans="2:13" ht="23.25" customHeight="1">
      <c r="B30" s="12"/>
      <c r="C30" s="12" t="str">
        <f>IF(B30&lt;&gt;"",TEXT(
_xlfn.XLOOKUP(B30,วางข้อมูล!G:G,วางข้อมูล!E:E),
"d mmmm yyyy"
),"")</f>
        <v/>
      </c>
      <c r="D30" s="12" t="str">
        <f t="shared" si="0"/>
        <v/>
      </c>
      <c r="E30" s="11" t="str">
        <f t="array" ref="E30">IF(B30&lt;&gt;"",_xlfn.XLOOKUP(
1,
(วางข้อมูล!G:G=B30)*(วางข้อมูล!I:I=1),
วางข้อมูล!J:J,
"ไม่พบข้อมูล"
),"")</f>
        <v/>
      </c>
      <c r="F30" s="11" t="str">
        <f t="array" ref="F30">IF(B30&lt;&gt;"",_xlfn.XLOOKUP(
  1,
  (วางข้อมูล!G:G = B30) * (วางข้อมูล!I:I = 3),
  วางข้อมูล!J:J,
  "ไม่พบข้อมูล"
),"")</f>
        <v/>
      </c>
      <c r="G30" s="11" t="str">
        <f t="shared" si="1"/>
        <v/>
      </c>
      <c r="H30" s="11" t="str">
        <f t="shared" si="2"/>
        <v/>
      </c>
      <c r="I30" s="10" t="str">
        <f t="array" ref="I30">IF(B30&lt;&gt;"",_xlfn.XLOOKUP(B30,วางข้อมูล!G:G,LEFT(วางข้อมูล!N:N,10)),"")</f>
        <v/>
      </c>
      <c r="J30" s="12"/>
      <c r="K30" s="11" t="str">
        <f t="shared" si="3"/>
        <v/>
      </c>
      <c r="L30" s="11" t="str">
        <f t="shared" si="4"/>
        <v/>
      </c>
      <c r="M30" s="11" t="str">
        <f t="shared" si="5"/>
        <v/>
      </c>
    </row>
    <row r="31" spans="2:13" ht="23.25" customHeight="1">
      <c r="B31" s="12"/>
      <c r="C31" s="12" t="str">
        <f>IF(B31&lt;&gt;"",TEXT(
_xlfn.XLOOKUP(B31,วางข้อมูล!G:G,วางข้อมูล!E:E),
"d mmmm yyyy"
),"")</f>
        <v/>
      </c>
      <c r="D31" s="12" t="str">
        <f t="shared" si="0"/>
        <v/>
      </c>
      <c r="E31" s="11" t="str">
        <f t="array" ref="E31">IF(B31&lt;&gt;"",_xlfn.XLOOKUP(
1,
(วางข้อมูล!G:G=B31)*(วางข้อมูล!I:I=1),
วางข้อมูล!J:J,
"ไม่พบข้อมูล"
),"")</f>
        <v/>
      </c>
      <c r="F31" s="11" t="str">
        <f t="array" ref="F31">IF(B31&lt;&gt;"",_xlfn.XLOOKUP(
  1,
  (วางข้อมูล!G:G = B31) * (วางข้อมูล!I:I = 3),
  วางข้อมูล!J:J,
  "ไม่พบข้อมูล"
),"")</f>
        <v/>
      </c>
      <c r="G31" s="11" t="str">
        <f t="shared" si="1"/>
        <v/>
      </c>
      <c r="H31" s="11" t="str">
        <f t="shared" si="2"/>
        <v/>
      </c>
      <c r="I31" s="10" t="str">
        <f t="array" ref="I31">IF(B31&lt;&gt;"",_xlfn.XLOOKUP(B31,วางข้อมูล!G:G,LEFT(วางข้อมูล!N:N,10)),"")</f>
        <v/>
      </c>
      <c r="J31" s="12"/>
      <c r="K31" s="11" t="str">
        <f t="shared" si="3"/>
        <v/>
      </c>
      <c r="L31" s="11" t="str">
        <f t="shared" si="4"/>
        <v/>
      </c>
      <c r="M31" s="11" t="str">
        <f t="shared" si="5"/>
        <v/>
      </c>
    </row>
    <row r="32" spans="2:13" ht="23.25" customHeight="1">
      <c r="B32" s="12"/>
      <c r="C32" s="12" t="str">
        <f>IF(B32&lt;&gt;"",TEXT(
_xlfn.XLOOKUP(B32,วางข้อมูล!G:G,วางข้อมูล!E:E),
"d mmmm yyyy"
),"")</f>
        <v/>
      </c>
      <c r="D32" s="12" t="str">
        <f t="shared" si="0"/>
        <v/>
      </c>
      <c r="E32" s="11" t="str">
        <f t="array" ref="E32">IF(B32&lt;&gt;"",_xlfn.XLOOKUP(
1,
(วางข้อมูล!G:G=B32)*(วางข้อมูล!I:I=1),
วางข้อมูล!J:J,
"ไม่พบข้อมูล"
),"")</f>
        <v/>
      </c>
      <c r="F32" s="11" t="str">
        <f t="array" ref="F32">IF(B32&lt;&gt;"",_xlfn.XLOOKUP(
  1,
  (วางข้อมูล!G:G = B32) * (วางข้อมูล!I:I = 3),
  วางข้อมูล!J:J,
  "ไม่พบข้อมูล"
),"")</f>
        <v/>
      </c>
      <c r="G32" s="11" t="str">
        <f t="shared" si="1"/>
        <v/>
      </c>
      <c r="H32" s="11" t="str">
        <f t="shared" si="2"/>
        <v/>
      </c>
      <c r="I32" s="10" t="str">
        <f t="array" ref="I32">IF(B32&lt;&gt;"",_xlfn.XLOOKUP(B32,วางข้อมูล!G:G,LEFT(วางข้อมูล!N:N,10)),"")</f>
        <v/>
      </c>
      <c r="J32" s="12"/>
      <c r="K32" s="11" t="str">
        <f t="shared" si="3"/>
        <v/>
      </c>
      <c r="L32" s="11" t="str">
        <f t="shared" si="4"/>
        <v/>
      </c>
      <c r="M32" s="11" t="str">
        <f t="shared" si="5"/>
        <v/>
      </c>
    </row>
    <row r="33" spans="2:13" ht="23.25" customHeight="1">
      <c r="B33" s="12"/>
      <c r="C33" s="12" t="str">
        <f>IF(B33&lt;&gt;"",TEXT(
_xlfn.XLOOKUP(B33,วางข้อมูล!G:G,วางข้อมูล!E:E),
"d mmmm yyyy"
),"")</f>
        <v/>
      </c>
      <c r="D33" s="12" t="str">
        <f t="shared" si="0"/>
        <v/>
      </c>
      <c r="E33" s="11" t="str">
        <f t="array" ref="E33">IF(B33&lt;&gt;"",_xlfn.XLOOKUP(
1,
(วางข้อมูล!G:G=B33)*(วางข้อมูล!I:I=1),
วางข้อมูล!J:J,
"ไม่พบข้อมูล"
),"")</f>
        <v/>
      </c>
      <c r="F33" s="11" t="str">
        <f t="array" ref="F33">IF(B33&lt;&gt;"",_xlfn.XLOOKUP(
  1,
  (วางข้อมูล!G:G = B33) * (วางข้อมูล!I:I = 3),
  วางข้อมูล!J:J,
  "ไม่พบข้อมูล"
),"")</f>
        <v/>
      </c>
      <c r="G33" s="11" t="str">
        <f t="shared" si="1"/>
        <v/>
      </c>
      <c r="H33" s="11" t="str">
        <f t="shared" si="2"/>
        <v/>
      </c>
      <c r="I33" s="10" t="str">
        <f t="array" ref="I33">IF(B33&lt;&gt;"",_xlfn.XLOOKUP(B33,วางข้อมูล!G:G,LEFT(วางข้อมูล!N:N,10)),"")</f>
        <v/>
      </c>
      <c r="J33" s="12"/>
      <c r="K33" s="11" t="str">
        <f t="shared" si="3"/>
        <v/>
      </c>
      <c r="L33" s="11" t="str">
        <f t="shared" si="4"/>
        <v/>
      </c>
      <c r="M33" s="11" t="str">
        <f t="shared" si="5"/>
        <v/>
      </c>
    </row>
    <row r="34" spans="2:13" ht="23.25" customHeight="1">
      <c r="B34" s="12"/>
      <c r="C34" s="12" t="str">
        <f>IF(B34&lt;&gt;"",TEXT(
_xlfn.XLOOKUP(B34,วางข้อมูล!G:G,วางข้อมูล!E:E),
"d mmmm yyyy"
),"")</f>
        <v/>
      </c>
      <c r="D34" s="12" t="str">
        <f t="shared" si="0"/>
        <v/>
      </c>
      <c r="E34" s="11" t="str">
        <f t="array" ref="E34">IF(B34&lt;&gt;"",_xlfn.XLOOKUP(
1,
(วางข้อมูล!G:G=B34)*(วางข้อมูล!I:I=1),
วางข้อมูล!J:J,
"ไม่พบข้อมูล"
),"")</f>
        <v/>
      </c>
      <c r="F34" s="11" t="str">
        <f t="array" ref="F34">IF(B34&lt;&gt;"",_xlfn.XLOOKUP(
  1,
  (วางข้อมูล!G:G = B34) * (วางข้อมูล!I:I = 3),
  วางข้อมูล!J:J,
  "ไม่พบข้อมูล"
),"")</f>
        <v/>
      </c>
      <c r="G34" s="11" t="str">
        <f t="shared" si="1"/>
        <v/>
      </c>
      <c r="H34" s="11" t="str">
        <f t="shared" si="2"/>
        <v/>
      </c>
      <c r="I34" s="10" t="str">
        <f t="array" ref="I34">IF(B34&lt;&gt;"",_xlfn.XLOOKUP(B34,วางข้อมูล!G:G,LEFT(วางข้อมูล!N:N,10)),"")</f>
        <v/>
      </c>
      <c r="J34" s="12"/>
      <c r="K34" s="11" t="str">
        <f t="shared" si="3"/>
        <v/>
      </c>
      <c r="L34" s="11" t="str">
        <f t="shared" si="4"/>
        <v/>
      </c>
      <c r="M34" s="11" t="str">
        <f t="shared" si="5"/>
        <v/>
      </c>
    </row>
    <row r="35" spans="2:13" ht="23.25" customHeight="1">
      <c r="B35" s="12"/>
      <c r="C35" s="12" t="str">
        <f>IF(B35&lt;&gt;"",TEXT(
_xlfn.XLOOKUP(B35,วางข้อมูล!G:G,วางข้อมูล!E:E),
"d mmmm yyyy"
),"")</f>
        <v/>
      </c>
      <c r="D35" s="12" t="str">
        <f t="shared" si="0"/>
        <v/>
      </c>
      <c r="E35" s="11" t="str">
        <f t="array" ref="E35">IF(B35&lt;&gt;"",_xlfn.XLOOKUP(
1,
(วางข้อมูล!G:G=B35)*(วางข้อมูล!I:I=1),
วางข้อมูล!J:J,
"ไม่พบข้อมูล"
),"")</f>
        <v/>
      </c>
      <c r="F35" s="11" t="str">
        <f t="array" ref="F35">IF(B35&lt;&gt;"",_xlfn.XLOOKUP(
  1,
  (วางข้อมูล!G:G = B35) * (วางข้อมูล!I:I = 3),
  วางข้อมูล!J:J,
  "ไม่พบข้อมูล"
),"")</f>
        <v/>
      </c>
      <c r="G35" s="11" t="str">
        <f t="shared" si="1"/>
        <v/>
      </c>
      <c r="H35" s="11" t="str">
        <f t="shared" si="2"/>
        <v/>
      </c>
      <c r="I35" s="10" t="str">
        <f t="array" ref="I35">IF(B35&lt;&gt;"",_xlfn.XLOOKUP(B35,วางข้อมูล!G:G,LEFT(วางข้อมูล!N:N,10)),"")</f>
        <v/>
      </c>
      <c r="J35" s="12"/>
      <c r="K35" s="11" t="str">
        <f t="shared" si="3"/>
        <v/>
      </c>
      <c r="L35" s="11" t="str">
        <f t="shared" si="4"/>
        <v/>
      </c>
      <c r="M35" s="11" t="str">
        <f t="shared" si="5"/>
        <v/>
      </c>
    </row>
    <row r="36" spans="2:13" ht="23.25" customHeight="1">
      <c r="B36" s="12"/>
      <c r="C36" s="12" t="str">
        <f>IF(B36&lt;&gt;"",TEXT(
_xlfn.XLOOKUP(B36,วางข้อมูล!G:G,วางข้อมูล!E:E),
"d mmmm yyyy"
),"")</f>
        <v/>
      </c>
      <c r="D36" s="12" t="str">
        <f t="shared" si="0"/>
        <v/>
      </c>
      <c r="E36" s="11" t="str">
        <f t="array" ref="E36">IF(B36&lt;&gt;"",_xlfn.XLOOKUP(
1,
(วางข้อมูล!G:G=B36)*(วางข้อมูล!I:I=1),
วางข้อมูล!J:J,
"ไม่พบข้อมูล"
),"")</f>
        <v/>
      </c>
      <c r="F36" s="11" t="str">
        <f t="array" ref="F36">IF(B36&lt;&gt;"",_xlfn.XLOOKUP(
  1,
  (วางข้อมูล!G:G = B36) * (วางข้อมูล!I:I = 3),
  วางข้อมูล!J:J,
  "ไม่พบข้อมูล"
),"")</f>
        <v/>
      </c>
      <c r="G36" s="11" t="str">
        <f t="shared" si="1"/>
        <v/>
      </c>
      <c r="H36" s="11" t="str">
        <f t="shared" si="2"/>
        <v/>
      </c>
      <c r="I36" s="10" t="str">
        <f t="array" ref="I36">IF(B36&lt;&gt;"",_xlfn.XLOOKUP(B36,วางข้อมูล!G:G,LEFT(วางข้อมูล!N:N,10)),"")</f>
        <v/>
      </c>
      <c r="J36" s="12"/>
      <c r="K36" s="11" t="str">
        <f t="shared" si="3"/>
        <v/>
      </c>
      <c r="L36" s="11" t="str">
        <f t="shared" si="4"/>
        <v/>
      </c>
      <c r="M36" s="11" t="str">
        <f t="shared" si="5"/>
        <v/>
      </c>
    </row>
    <row r="37" spans="2:13" ht="23.25" customHeight="1">
      <c r="B37" s="12"/>
      <c r="C37" s="12" t="str">
        <f>IF(B37&lt;&gt;"",TEXT(
_xlfn.XLOOKUP(B37,วางข้อมูล!G:G,วางข้อมูล!E:E),
"d mmmm yyyy"
),"")</f>
        <v/>
      </c>
      <c r="D37" s="12" t="str">
        <f t="shared" si="0"/>
        <v/>
      </c>
      <c r="E37" s="11" t="str">
        <f t="array" ref="E37">IF(B37&lt;&gt;"",_xlfn.XLOOKUP(
1,
(วางข้อมูล!G:G=B37)*(วางข้อมูล!I:I=1),
วางข้อมูล!J:J,
"ไม่พบข้อมูล"
),"")</f>
        <v/>
      </c>
      <c r="F37" s="11" t="str">
        <f t="array" ref="F37">IF(B37&lt;&gt;"",_xlfn.XLOOKUP(
  1,
  (วางข้อมูล!G:G = B37) * (วางข้อมูล!I:I = 3),
  วางข้อมูล!J:J,
  "ไม่พบข้อมูล"
),"")</f>
        <v/>
      </c>
      <c r="G37" s="11" t="str">
        <f t="shared" si="1"/>
        <v/>
      </c>
      <c r="H37" s="11" t="str">
        <f t="shared" si="2"/>
        <v/>
      </c>
      <c r="I37" s="10" t="str">
        <f t="array" ref="I37">IF(B37&lt;&gt;"",_xlfn.XLOOKUP(B37,วางข้อมูล!G:G,LEFT(วางข้อมูล!N:N,10)),"")</f>
        <v/>
      </c>
      <c r="J37" s="12"/>
      <c r="K37" s="11" t="str">
        <f t="shared" si="3"/>
        <v/>
      </c>
      <c r="L37" s="11" t="str">
        <f t="shared" si="4"/>
        <v/>
      </c>
      <c r="M37" s="11" t="str">
        <f t="shared" si="5"/>
        <v/>
      </c>
    </row>
    <row r="38" spans="2:13" ht="23.25" customHeight="1">
      <c r="B38" s="12"/>
      <c r="C38" s="12" t="str">
        <f>IF(B38&lt;&gt;"",TEXT(
_xlfn.XLOOKUP(B38,วางข้อมูล!G:G,วางข้อมูล!E:E),
"d mmmm yyyy"
),"")</f>
        <v/>
      </c>
      <c r="D38" s="12" t="str">
        <f t="shared" si="0"/>
        <v/>
      </c>
      <c r="E38" s="11" t="str">
        <f t="array" ref="E38">IF(B38&lt;&gt;"",_xlfn.XLOOKUP(
1,
(วางข้อมูล!G:G=B38)*(วางข้อมูล!I:I=1),
วางข้อมูล!J:J,
"ไม่พบข้อมูล"
),"")</f>
        <v/>
      </c>
      <c r="F38" s="11" t="str">
        <f t="array" ref="F38">IF(B38&lt;&gt;"",_xlfn.XLOOKUP(
  1,
  (วางข้อมูล!G:G = B38) * (วางข้อมูล!I:I = 3),
  วางข้อมูล!J:J,
  "ไม่พบข้อมูล"
),"")</f>
        <v/>
      </c>
      <c r="G38" s="11" t="str">
        <f t="shared" si="1"/>
        <v/>
      </c>
      <c r="H38" s="11" t="str">
        <f t="shared" si="2"/>
        <v/>
      </c>
      <c r="I38" s="10" t="str">
        <f t="array" ref="I38">IF(B38&lt;&gt;"",_xlfn.XLOOKUP(B38,วางข้อมูล!G:G,LEFT(วางข้อมูล!N:N,10)),"")</f>
        <v/>
      </c>
      <c r="J38" s="12"/>
      <c r="K38" s="11" t="str">
        <f t="shared" si="3"/>
        <v/>
      </c>
      <c r="L38" s="11" t="str">
        <f t="shared" si="4"/>
        <v/>
      </c>
      <c r="M38" s="11" t="str">
        <f t="shared" si="5"/>
        <v/>
      </c>
    </row>
    <row r="39" spans="2:13" ht="23.25" customHeight="1">
      <c r="B39" s="12"/>
      <c r="C39" s="12" t="str">
        <f>IF(B39&lt;&gt;"",TEXT(
_xlfn.XLOOKUP(B39,วางข้อมูล!G:G,วางข้อมูล!E:E),
"d mmmm yyyy"
),"")</f>
        <v/>
      </c>
      <c r="D39" s="12" t="str">
        <f t="shared" si="0"/>
        <v/>
      </c>
      <c r="E39" s="11" t="str">
        <f t="array" ref="E39">IF(B39&lt;&gt;"",_xlfn.XLOOKUP(
1,
(วางข้อมูล!G:G=B39)*(วางข้อมูล!I:I=1),
วางข้อมูล!J:J,
"ไม่พบข้อมูล"
),"")</f>
        <v/>
      </c>
      <c r="F39" s="11" t="str">
        <f t="array" ref="F39">IF(B39&lt;&gt;"",_xlfn.XLOOKUP(
  1,
  (วางข้อมูล!G:G = B39) * (วางข้อมูล!I:I = 3),
  วางข้อมูล!J:J,
  "ไม่พบข้อมูล"
),"")</f>
        <v/>
      </c>
      <c r="G39" s="11" t="str">
        <f t="shared" si="1"/>
        <v/>
      </c>
      <c r="H39" s="11" t="str">
        <f t="shared" si="2"/>
        <v/>
      </c>
      <c r="I39" s="10" t="str">
        <f t="array" ref="I39">IF(B39&lt;&gt;"",_xlfn.XLOOKUP(B39,วางข้อมูล!G:G,LEFT(วางข้อมูล!N:N,10)),"")</f>
        <v/>
      </c>
      <c r="J39" s="12"/>
      <c r="K39" s="11" t="str">
        <f t="shared" si="3"/>
        <v/>
      </c>
      <c r="L39" s="11" t="str">
        <f t="shared" si="4"/>
        <v/>
      </c>
      <c r="M39" s="11" t="str">
        <f t="shared" si="5"/>
        <v/>
      </c>
    </row>
    <row r="40" spans="2:13" ht="23.25" customHeight="1">
      <c r="B40" s="12"/>
      <c r="C40" s="12" t="str">
        <f>IF(B40&lt;&gt;"",TEXT(
_xlfn.XLOOKUP(B40,วางข้อมูล!G:G,วางข้อมูล!E:E),
"d mmmm yyyy"
),"")</f>
        <v/>
      </c>
      <c r="D40" s="12" t="str">
        <f t="shared" si="0"/>
        <v/>
      </c>
      <c r="E40" s="11" t="str">
        <f t="array" ref="E40">IF(B40&lt;&gt;"",_xlfn.XLOOKUP(
1,
(วางข้อมูล!G:G=B40)*(วางข้อมูล!I:I=1),
วางข้อมูล!J:J,
"ไม่พบข้อมูล"
),"")</f>
        <v/>
      </c>
      <c r="F40" s="11" t="str">
        <f t="array" ref="F40">IF(B40&lt;&gt;"",_xlfn.XLOOKUP(
  1,
  (วางข้อมูล!G:G = B40) * (วางข้อมูล!I:I = 3),
  วางข้อมูล!J:J,
  "ไม่พบข้อมูล"
),"")</f>
        <v/>
      </c>
      <c r="G40" s="11" t="str">
        <f t="shared" si="1"/>
        <v/>
      </c>
      <c r="H40" s="11" t="str">
        <f t="shared" si="2"/>
        <v/>
      </c>
      <c r="I40" s="10" t="str">
        <f t="array" ref="I40">IF(B40&lt;&gt;"",_xlfn.XLOOKUP(B40,วางข้อมูล!G:G,LEFT(วางข้อมูล!N:N,10)),"")</f>
        <v/>
      </c>
      <c r="J40" s="12"/>
      <c r="K40" s="11" t="str">
        <f t="shared" si="3"/>
        <v/>
      </c>
      <c r="L40" s="11" t="str">
        <f t="shared" si="4"/>
        <v/>
      </c>
      <c r="M40" s="11" t="str">
        <f t="shared" si="5"/>
        <v/>
      </c>
    </row>
    <row r="41" spans="2:13" ht="23.25" customHeight="1">
      <c r="B41" s="12"/>
      <c r="C41" s="12" t="str">
        <f>IF(B41&lt;&gt;"",TEXT(
_xlfn.XLOOKUP(B41,วางข้อมูล!G:G,วางข้อมูล!E:E),
"d mmmm yyyy"
),"")</f>
        <v/>
      </c>
      <c r="D41" s="12" t="str">
        <f t="shared" si="0"/>
        <v/>
      </c>
      <c r="E41" s="11" t="str">
        <f t="array" ref="E41">IF(B41&lt;&gt;"",_xlfn.XLOOKUP(
1,
(วางข้อมูล!G:G=B41)*(วางข้อมูล!I:I=1),
วางข้อมูล!J:J,
"ไม่พบข้อมูล"
),"")</f>
        <v/>
      </c>
      <c r="F41" s="11" t="str">
        <f t="array" ref="F41">IF(B41&lt;&gt;"",_xlfn.XLOOKUP(
  1,
  (วางข้อมูล!G:G = B41) * (วางข้อมูล!I:I = 3),
  วางข้อมูล!J:J,
  "ไม่พบข้อมูล"
),"")</f>
        <v/>
      </c>
      <c r="G41" s="11" t="str">
        <f t="shared" si="1"/>
        <v/>
      </c>
      <c r="H41" s="11" t="str">
        <f t="shared" si="2"/>
        <v/>
      </c>
      <c r="I41" s="10" t="str">
        <f t="array" ref="I41">IF(B41&lt;&gt;"",_xlfn.XLOOKUP(B41,วางข้อมูล!G:G,LEFT(วางข้อมูล!N:N,10)),"")</f>
        <v/>
      </c>
      <c r="J41" s="12"/>
      <c r="K41" s="11" t="str">
        <f t="shared" si="3"/>
        <v/>
      </c>
      <c r="L41" s="11" t="str">
        <f t="shared" si="4"/>
        <v/>
      </c>
      <c r="M41" s="11" t="str">
        <f t="shared" si="5"/>
        <v/>
      </c>
    </row>
    <row r="42" spans="2:13" ht="23.25" customHeight="1">
      <c r="B42" s="12"/>
      <c r="C42" s="12" t="str">
        <f>IF(B42&lt;&gt;"",TEXT(
_xlfn.XLOOKUP(B42,วางข้อมูล!G:G,วางข้อมูล!E:E),
"d mmmm yyyy"
),"")</f>
        <v/>
      </c>
      <c r="D42" s="12" t="str">
        <f t="shared" si="0"/>
        <v/>
      </c>
      <c r="E42" s="11" t="str">
        <f t="array" ref="E42">IF(B42&lt;&gt;"",_xlfn.XLOOKUP(
1,
(วางข้อมูล!G:G=B42)*(วางข้อมูล!I:I=1),
วางข้อมูล!J:J,
"ไม่พบข้อมูล"
),"")</f>
        <v/>
      </c>
      <c r="F42" s="11" t="str">
        <f t="array" ref="F42">IF(B42&lt;&gt;"",_xlfn.XLOOKUP(
  1,
  (วางข้อมูล!G:G = B42) * (วางข้อมูล!I:I = 3),
  วางข้อมูล!J:J,
  "ไม่พบข้อมูล"
),"")</f>
        <v/>
      </c>
      <c r="G42" s="11" t="str">
        <f t="shared" si="1"/>
        <v/>
      </c>
      <c r="H42" s="11" t="str">
        <f t="shared" si="2"/>
        <v/>
      </c>
      <c r="I42" s="10" t="str">
        <f t="array" ref="I42">IF(B42&lt;&gt;"",_xlfn.XLOOKUP(B42,วางข้อมูล!G:G,LEFT(วางข้อมูล!N:N,10)),"")</f>
        <v/>
      </c>
      <c r="J42" s="12"/>
      <c r="K42" s="11" t="str">
        <f t="shared" si="3"/>
        <v/>
      </c>
      <c r="L42" s="11" t="str">
        <f t="shared" si="4"/>
        <v/>
      </c>
      <c r="M42" s="11" t="str">
        <f t="shared" si="5"/>
        <v/>
      </c>
    </row>
    <row r="43" spans="2:13" ht="23.25" customHeight="1">
      <c r="B43" s="12"/>
      <c r="C43" s="12" t="str">
        <f>IF(B43&lt;&gt;"",TEXT(
_xlfn.XLOOKUP(B43,วางข้อมูล!G:G,วางข้อมูล!E:E),
"d mmmm yyyy"
),"")</f>
        <v/>
      </c>
      <c r="D43" s="12" t="str">
        <f t="shared" si="0"/>
        <v/>
      </c>
      <c r="E43" s="11" t="str">
        <f t="array" ref="E43">IF(B43&lt;&gt;"",_xlfn.XLOOKUP(
1,
(วางข้อมูล!G:G=B43)*(วางข้อมูล!I:I=1),
วางข้อมูล!J:J,
"ไม่พบข้อมูล"
),"")</f>
        <v/>
      </c>
      <c r="F43" s="11" t="str">
        <f t="array" ref="F43">IF(B43&lt;&gt;"",_xlfn.XLOOKUP(
  1,
  (วางข้อมูล!G:G = B43) * (วางข้อมูล!I:I = 3),
  วางข้อมูล!J:J,
  "ไม่พบข้อมูล"
),"")</f>
        <v/>
      </c>
      <c r="G43" s="11" t="str">
        <f t="shared" si="1"/>
        <v/>
      </c>
      <c r="H43" s="11" t="str">
        <f t="shared" si="2"/>
        <v/>
      </c>
      <c r="I43" s="10" t="str">
        <f t="array" ref="I43">IF(B43&lt;&gt;"",_xlfn.XLOOKUP(B43,วางข้อมูล!G:G,LEFT(วางข้อมูล!N:N,10)),"")</f>
        <v/>
      </c>
      <c r="J43" s="12"/>
      <c r="K43" s="11" t="str">
        <f t="shared" si="3"/>
        <v/>
      </c>
      <c r="L43" s="11" t="str">
        <f t="shared" si="4"/>
        <v/>
      </c>
      <c r="M43" s="11" t="str">
        <f t="shared" si="5"/>
        <v/>
      </c>
    </row>
    <row r="44" spans="2:13" ht="23.25" customHeight="1">
      <c r="B44" s="12"/>
      <c r="C44" s="12" t="str">
        <f>IF(B44&lt;&gt;"",TEXT(
_xlfn.XLOOKUP(B44,วางข้อมูล!G:G,วางข้อมูล!E:E),
"d mmmm yyyy"
),"")</f>
        <v/>
      </c>
      <c r="D44" s="12" t="str">
        <f t="shared" si="0"/>
        <v/>
      </c>
      <c r="E44" s="11" t="str">
        <f t="array" ref="E44">IF(B44&lt;&gt;"",_xlfn.XLOOKUP(
1,
(วางข้อมูล!G:G=B44)*(วางข้อมูล!I:I=1),
วางข้อมูล!J:J,
"ไม่พบข้อมูล"
),"")</f>
        <v/>
      </c>
      <c r="F44" s="11" t="str">
        <f t="array" ref="F44">IF(B44&lt;&gt;"",_xlfn.XLOOKUP(
  1,
  (วางข้อมูล!G:G = B44) * (วางข้อมูล!I:I = 3),
  วางข้อมูล!J:J,
  "ไม่พบข้อมูล"
),"")</f>
        <v/>
      </c>
      <c r="G44" s="11" t="str">
        <f t="shared" si="1"/>
        <v/>
      </c>
      <c r="H44" s="11" t="str">
        <f t="shared" si="2"/>
        <v/>
      </c>
      <c r="I44" s="10" t="str">
        <f t="array" ref="I44">IF(B44&lt;&gt;"",_xlfn.XLOOKUP(B44,วางข้อมูล!G:G,LEFT(วางข้อมูล!N:N,10)),"")</f>
        <v/>
      </c>
      <c r="J44" s="12"/>
      <c r="K44" s="11" t="str">
        <f t="shared" si="3"/>
        <v/>
      </c>
      <c r="L44" s="11" t="str">
        <f t="shared" si="4"/>
        <v/>
      </c>
      <c r="M44" s="11" t="str">
        <f t="shared" si="5"/>
        <v/>
      </c>
    </row>
    <row r="45" spans="2:13" ht="23.25" customHeight="1">
      <c r="B45" s="12"/>
      <c r="C45" s="12" t="str">
        <f>IF(B45&lt;&gt;"",TEXT(
_xlfn.XLOOKUP(B45,วางข้อมูล!G:G,วางข้อมูล!E:E),
"d mmmm yyyy"
),"")</f>
        <v/>
      </c>
      <c r="D45" s="12" t="str">
        <f t="shared" si="0"/>
        <v/>
      </c>
      <c r="E45" s="11" t="str">
        <f t="array" ref="E45">IF(B45&lt;&gt;"",_xlfn.XLOOKUP(
1,
(วางข้อมูล!G:G=B45)*(วางข้อมูล!I:I=1),
วางข้อมูล!J:J,
"ไม่พบข้อมูล"
),"")</f>
        <v/>
      </c>
      <c r="F45" s="11" t="str">
        <f t="array" ref="F45">IF(B45&lt;&gt;"",_xlfn.XLOOKUP(
  1,
  (วางข้อมูล!G:G = B45) * (วางข้อมูล!I:I = 3),
  วางข้อมูล!J:J,
  "ไม่พบข้อมูล"
),"")</f>
        <v/>
      </c>
      <c r="G45" s="11" t="str">
        <f t="shared" si="1"/>
        <v/>
      </c>
      <c r="H45" s="11" t="str">
        <f t="shared" si="2"/>
        <v/>
      </c>
      <c r="I45" s="10" t="str">
        <f t="array" ref="I45">IF(B45&lt;&gt;"",_xlfn.XLOOKUP(B45,วางข้อมูล!G:G,LEFT(วางข้อมูล!N:N,10)),"")</f>
        <v/>
      </c>
      <c r="J45" s="12"/>
      <c r="K45" s="11" t="str">
        <f t="shared" si="3"/>
        <v/>
      </c>
      <c r="L45" s="11" t="str">
        <f t="shared" si="4"/>
        <v/>
      </c>
      <c r="M45" s="11" t="str">
        <f t="shared" si="5"/>
        <v/>
      </c>
    </row>
    <row r="46" spans="2:13" ht="23.25" customHeight="1">
      <c r="B46" s="12"/>
      <c r="C46" s="12" t="str">
        <f>IF(B46&lt;&gt;"",TEXT(
_xlfn.XLOOKUP(B46,วางข้อมูล!G:G,วางข้อมูล!E:E),
"d mmmm yyyy"
),"")</f>
        <v/>
      </c>
      <c r="D46" s="12" t="str">
        <f t="shared" si="0"/>
        <v/>
      </c>
      <c r="E46" s="11" t="str">
        <f t="array" ref="E46">IF(B46&lt;&gt;"",_xlfn.XLOOKUP(
1,
(วางข้อมูล!G:G=B46)*(วางข้อมูล!I:I=1),
วางข้อมูล!J:J,
"ไม่พบข้อมูล"
),"")</f>
        <v/>
      </c>
      <c r="F46" s="11" t="str">
        <f t="array" ref="F46">IF(B46&lt;&gt;"",_xlfn.XLOOKUP(
  1,
  (วางข้อมูล!G:G = B46) * (วางข้อมูล!I:I = 3),
  วางข้อมูล!J:J,
  "ไม่พบข้อมูล"
),"")</f>
        <v/>
      </c>
      <c r="G46" s="11" t="str">
        <f t="shared" si="1"/>
        <v/>
      </c>
      <c r="H46" s="11" t="str">
        <f t="shared" si="2"/>
        <v/>
      </c>
      <c r="I46" s="10" t="str">
        <f t="array" ref="I46">IF(B46&lt;&gt;"",_xlfn.XLOOKUP(B46,วางข้อมูล!G:G,LEFT(วางข้อมูล!N:N,10)),"")</f>
        <v/>
      </c>
      <c r="J46" s="12"/>
      <c r="K46" s="11" t="str">
        <f t="shared" si="3"/>
        <v/>
      </c>
      <c r="L46" s="11" t="str">
        <f t="shared" si="4"/>
        <v/>
      </c>
      <c r="M46" s="11" t="str">
        <f t="shared" si="5"/>
        <v/>
      </c>
    </row>
    <row r="47" spans="2:13" ht="23.25" customHeight="1">
      <c r="B47" s="12"/>
      <c r="C47" s="12" t="str">
        <f>IF(B47&lt;&gt;"",TEXT(
_xlfn.XLOOKUP(B47,วางข้อมูล!G:G,วางข้อมูล!E:E),
"d mmmm yyyy"
),"")</f>
        <v/>
      </c>
      <c r="D47" s="12" t="str">
        <f t="shared" si="0"/>
        <v/>
      </c>
      <c r="E47" s="11" t="str">
        <f t="array" ref="E47">IF(B47&lt;&gt;"",_xlfn.XLOOKUP(
1,
(วางข้อมูล!G:G=B47)*(วางข้อมูล!I:I=1),
วางข้อมูล!J:J,
"ไม่พบข้อมูล"
),"")</f>
        <v/>
      </c>
      <c r="F47" s="11" t="str">
        <f t="array" ref="F47">IF(B47&lt;&gt;"",_xlfn.XLOOKUP(
  1,
  (วางข้อมูล!G:G = B47) * (วางข้อมูล!I:I = 3),
  วางข้อมูล!J:J,
  "ไม่พบข้อมูล"
),"")</f>
        <v/>
      </c>
      <c r="G47" s="11" t="str">
        <f t="shared" si="1"/>
        <v/>
      </c>
      <c r="H47" s="11" t="str">
        <f t="shared" si="2"/>
        <v/>
      </c>
      <c r="I47" s="10" t="str">
        <f t="array" ref="I47">IF(B47&lt;&gt;"",_xlfn.XLOOKUP(B47,วางข้อมูล!G:G,LEFT(วางข้อมูล!N:N,10)),"")</f>
        <v/>
      </c>
      <c r="J47" s="12"/>
      <c r="K47" s="11" t="str">
        <f t="shared" si="3"/>
        <v/>
      </c>
      <c r="L47" s="11" t="str">
        <f t="shared" si="4"/>
        <v/>
      </c>
      <c r="M47" s="11" t="str">
        <f t="shared" si="5"/>
        <v/>
      </c>
    </row>
    <row r="48" spans="2:13" ht="23.25" customHeight="1">
      <c r="B48" s="12"/>
      <c r="C48" s="12" t="str">
        <f>IF(B48&lt;&gt;"",TEXT(
_xlfn.XLOOKUP(B48,วางข้อมูล!G:G,วางข้อมูล!E:E),
"d mmmm yyyy"
),"")</f>
        <v/>
      </c>
      <c r="D48" s="12" t="str">
        <f t="shared" si="0"/>
        <v/>
      </c>
      <c r="E48" s="11" t="str">
        <f t="array" ref="E48">IF(B48&lt;&gt;"",_xlfn.XLOOKUP(
1,
(วางข้อมูล!G:G=B48)*(วางข้อมูล!I:I=1),
วางข้อมูล!J:J,
"ไม่พบข้อมูล"
),"")</f>
        <v/>
      </c>
      <c r="F48" s="11" t="str">
        <f t="array" ref="F48">IF(B48&lt;&gt;"",_xlfn.XLOOKUP(
  1,
  (วางข้อมูล!G:G = B48) * (วางข้อมูล!I:I = 3),
  วางข้อมูล!J:J,
  "ไม่พบข้อมูล"
),"")</f>
        <v/>
      </c>
      <c r="G48" s="11" t="str">
        <f t="shared" si="1"/>
        <v/>
      </c>
      <c r="H48" s="11" t="str">
        <f t="shared" si="2"/>
        <v/>
      </c>
      <c r="I48" s="10" t="str">
        <f t="array" ref="I48">IF(B48&lt;&gt;"",_xlfn.XLOOKUP(B48,วางข้อมูล!G:G,LEFT(วางข้อมูล!N:N,10)),"")</f>
        <v/>
      </c>
      <c r="J48" s="12"/>
      <c r="K48" s="11" t="str">
        <f t="shared" si="3"/>
        <v/>
      </c>
      <c r="L48" s="11" t="str">
        <f t="shared" si="4"/>
        <v/>
      </c>
      <c r="M48" s="11" t="str">
        <f t="shared" si="5"/>
        <v/>
      </c>
    </row>
    <row r="49" spans="2:13" ht="23.25" customHeight="1">
      <c r="B49" s="12"/>
      <c r="C49" s="12" t="str">
        <f>IF(B49&lt;&gt;"",TEXT(
_xlfn.XLOOKUP(B49,วางข้อมูล!G:G,วางข้อมูล!E:E),
"d mmmm yyyy"
),"")</f>
        <v/>
      </c>
      <c r="D49" s="12" t="str">
        <f t="shared" si="0"/>
        <v/>
      </c>
      <c r="E49" s="11" t="str">
        <f t="array" ref="E49">IF(B49&lt;&gt;"",_xlfn.XLOOKUP(
1,
(วางข้อมูล!G:G=B49)*(วางข้อมูล!I:I=1),
วางข้อมูล!J:J,
"ไม่พบข้อมูล"
),"")</f>
        <v/>
      </c>
      <c r="F49" s="11" t="str">
        <f t="array" ref="F49">IF(B49&lt;&gt;"",_xlfn.XLOOKUP(
  1,
  (วางข้อมูล!G:G = B49) * (วางข้อมูล!I:I = 3),
  วางข้อมูล!J:J,
  "ไม่พบข้อมูล"
),"")</f>
        <v/>
      </c>
      <c r="G49" s="11" t="str">
        <f t="shared" si="1"/>
        <v/>
      </c>
      <c r="H49" s="11" t="str">
        <f t="shared" si="2"/>
        <v/>
      </c>
      <c r="I49" s="10" t="str">
        <f t="array" ref="I49">IF(B49&lt;&gt;"",_xlfn.XLOOKUP(B49,วางข้อมูล!G:G,LEFT(วางข้อมูล!N:N,10)),"")</f>
        <v/>
      </c>
      <c r="J49" s="12"/>
      <c r="K49" s="11" t="str">
        <f t="shared" si="3"/>
        <v/>
      </c>
      <c r="L49" s="11" t="str">
        <f t="shared" si="4"/>
        <v/>
      </c>
      <c r="M49" s="11" t="str">
        <f t="shared" si="5"/>
        <v/>
      </c>
    </row>
    <row r="50" spans="2:13" ht="23.25" customHeight="1">
      <c r="B50" s="12"/>
      <c r="C50" s="12" t="str">
        <f>IF(B50&lt;&gt;"",TEXT(
_xlfn.XLOOKUP(B50,วางข้อมูล!G:G,วางข้อมูล!E:E),
"d mmmm yyyy"
),"")</f>
        <v/>
      </c>
      <c r="D50" s="12" t="str">
        <f t="shared" si="0"/>
        <v/>
      </c>
      <c r="E50" s="11" t="str">
        <f t="array" ref="E50">IF(B50&lt;&gt;"",_xlfn.XLOOKUP(
1,
(วางข้อมูล!G:G=B50)*(วางข้อมูล!I:I=1),
วางข้อมูล!J:J,
"ไม่พบข้อมูล"
),"")</f>
        <v/>
      </c>
      <c r="F50" s="11" t="str">
        <f t="array" ref="F50">IF(B50&lt;&gt;"",_xlfn.XLOOKUP(
  1,
  (วางข้อมูล!G:G = B50) * (วางข้อมูล!I:I = 3),
  วางข้อมูล!J:J,
  "ไม่พบข้อมูล"
),"")</f>
        <v/>
      </c>
      <c r="G50" s="11" t="str">
        <f t="shared" si="1"/>
        <v/>
      </c>
      <c r="H50" s="11" t="str">
        <f t="shared" si="2"/>
        <v/>
      </c>
      <c r="I50" s="10" t="str">
        <f t="array" ref="I50">IF(B50&lt;&gt;"",_xlfn.XLOOKUP(B50,วางข้อมูล!G:G,LEFT(วางข้อมูล!N:N,10)),"")</f>
        <v/>
      </c>
      <c r="J50" s="12"/>
      <c r="K50" s="11" t="str">
        <f t="shared" si="3"/>
        <v/>
      </c>
      <c r="L50" s="11" t="str">
        <f t="shared" si="4"/>
        <v/>
      </c>
      <c r="M50" s="11" t="str">
        <f t="shared" si="5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วางข้อมูล</vt:lpstr>
      <vt:lpstr>หน้ารายงาน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บะบิ้ว 5 มีอยู่จริง</dc:creator>
  <cp:lastModifiedBy>บะบิ้ว 5 มีอยู่จริง</cp:lastModifiedBy>
  <dcterms:created xsi:type="dcterms:W3CDTF">2025-12-10T04:23:47Z</dcterms:created>
  <dcterms:modified xsi:type="dcterms:W3CDTF">2025-12-10T06:06:48Z</dcterms:modified>
</cp:coreProperties>
</file>