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Y:\Build384 บริษัท รักษาความปลอดภัย ที.เอ็น.พี.โปรดักชั่น จำกัด รายเดือน\บัญชี\003-ภาษี\ภ.ง.ด.1ก\2025\"/>
    </mc:Choice>
  </mc:AlternateContent>
  <xr:revisionPtr revIDLastSave="0" documentId="13_ncr:1_{630F5DB9-020E-4B7A-9671-93F0EF273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externalReferences>
    <externalReference r:id="rId2"/>
  </externalReferences>
  <definedNames>
    <definedName name="_xlnm._FilterDatabase" localSheetId="0" hidden="1">DATA!$A$1:$AB$112</definedName>
    <definedName name="Branch_No">[1]WHT_Config!$B$8</definedName>
    <definedName name="Day_Ref">[1]WHT_Config!$D$1</definedName>
    <definedName name="Doc_No">[1]WHT_Form!$BC$5</definedName>
    <definedName name="Inp_Target">OFFSET(WHT_Ref,COUNTA(WHT_Date)+1,0)</definedName>
    <definedName name="List_Doc_No">OFFSET([1]WHT_Data!$F$2,MATCH([1]WHT_Data!$X$1,WHT_Doc_No,0),0,[1]WHT_Data!$W$1,1)</definedName>
    <definedName name="List_Month">[1]WHT_Config!$E$1:$E$12</definedName>
    <definedName name="List_PND">OFFSET([1]WHT_Config!$J$1,1,0,COUNTA([1]WHT_Config!$J:$J)-1,1)</definedName>
    <definedName name="Name_Address">OFFSET(Name_Ref,1,2,Name_Total,1)</definedName>
    <definedName name="Name_Name">OFFSET(Name_Ref,1,0,Name_Total,1)</definedName>
    <definedName name="Name_Ref">[1]WHT_Name!$C$1</definedName>
    <definedName name="Name_Tax_ID">OFFSET(Name_Ref,1,1,Name_Total,1)</definedName>
    <definedName name="Name_Total">COUNTA([1]WHT_Name!$C:$C)-1</definedName>
    <definedName name="PND_All">OFFSET(PND_Ref,1,1,COUNTA([1]WHT_Config!$M:$M)-1,1)</definedName>
    <definedName name="PND_Ref">[1]WHT_Config!$L$1</definedName>
    <definedName name="Select_Month">[1]WHT_Form!$BY$5</definedName>
    <definedName name="Select_Year">[1]WHT_Form!$BY$4</definedName>
    <definedName name="tax">#REF!</definedName>
    <definedName name="Tax_ID">[1]WHT_Config!$B$7</definedName>
    <definedName name="WHT_Amount1">OFFSET(WHT_Ref,1,9,WHT_Total,1)</definedName>
    <definedName name="WHT_Amount2">OFFSET(WHT_Ref,1,14,WHT_Total,1)</definedName>
    <definedName name="WHT_Date">OFFSET(WHT_Ref,1,0,WHT_Total,1)</definedName>
    <definedName name="WHT_Desc1">OFFSET(WHT_Ref,1,8,WHT_Total,1)</definedName>
    <definedName name="WHT_Desc2">OFFSET(WHT_Ref,1,13,WHT_Total,1)</definedName>
    <definedName name="WHT_Doc_No">OFFSET(WHT_Ref,1,5,WHT_Total,1)</definedName>
    <definedName name="WHT_Item_in_Att">OFFSET(WHT_Ref,1,6,WHT_Total,1)</definedName>
    <definedName name="WHT_Month">OFFSET(WHT_Ref,1,2,WHT_Total,1)</definedName>
    <definedName name="WHT_Name">OFFSET(WHT_Ref,1,7,WHT_Total,1)</definedName>
    <definedName name="WHT_Ref">[1]WHT_Data!$A$2</definedName>
    <definedName name="WHT_Tax_Type">OFFSET(WHT_Ref,1,3,WHT_Total,1)</definedName>
    <definedName name="WHT_Tax1">OFFSET(WHT_Ref,1,11,WHT_Total,1)</definedName>
    <definedName name="WHT_Tax2">OFFSET(WHT_Ref,1,16,WHT_Total,1)</definedName>
    <definedName name="WHT_TaxRate1">OFFSET(WHT_Ref,1,10,WHT_Total,1)</definedName>
    <definedName name="WHT_TaxRate2">OFFSET(WHT_Ref,1,15,WHT_Total,1)</definedName>
    <definedName name="WHT_Total">COUNTA([1]WHT_Data!$A:$A)-1</definedName>
    <definedName name="WHT_Year">OFFSET(WHT_Ref,1,1,WHT_Total,1)</definedName>
    <definedName name="ชื่อ">#REF!</definedName>
    <definedName name="ชื่อ1">#REF!</definedName>
    <definedName name="ที่อยู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1" i="2" l="1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E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112" i="2" l="1"/>
  <c r="AD112" i="2"/>
</calcChain>
</file>

<file path=xl/sharedStrings.xml><?xml version="1.0" encoding="utf-8"?>
<sst xmlns="http://schemas.openxmlformats.org/spreadsheetml/2006/main" count="153" uniqueCount="129">
  <si>
    <t>ลำดับ</t>
  </si>
  <si>
    <t>ชื่อ-นามสกุล</t>
  </si>
  <si>
    <t>Tax_ID</t>
  </si>
  <si>
    <t>ที่อยู่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</si>
  <si>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</si>
  <si>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</si>
  <si>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</si>
  <si>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</si>
  <si>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</si>
  <si>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</si>
  <si>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</si>
  <si>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</si>
  <si>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</si>
  <si>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</si>
  <si>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</si>
  <si>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</si>
  <si>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</si>
  <si>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รวม2</t>
  </si>
  <si>
    <t>รายได้</t>
  </si>
  <si>
    <t>WHT</t>
  </si>
  <si>
    <t>สุภาพ สิทธิเดช</t>
  </si>
  <si>
    <t>สนอง เอี่ยมแจ้ง</t>
  </si>
  <si>
    <t>กีรติ กิ่งวิสิทธิ์</t>
  </si>
  <si>
    <t>จรัญ  จันทพันธ์</t>
  </si>
  <si>
    <t>นิวัฒน์  อินทรเสน</t>
  </si>
  <si>
    <t>เนติภัทร เขาเงิน</t>
  </si>
  <si>
    <t>ปัญญา บุญอภัย</t>
  </si>
  <si>
    <r>
      <rPr>
        <sz val="10"/>
        <rFont val="Tahoma"/>
        <charset val="134"/>
      </rPr>
      <t>พัลลภ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เพชรอุย</t>
    </r>
  </si>
  <si>
    <t>พุฒิพงศ์ พรมเวียง</t>
  </si>
  <si>
    <t>ยุทธภูมิ ชัยญานนท์</t>
  </si>
  <si>
    <t>วรากร ทิพมาตร</t>
  </si>
  <si>
    <t>อนุชา  นิดชิน</t>
  </si>
  <si>
    <t>อนุรักษ์  ธรรมนาม</t>
  </si>
  <si>
    <t>อภิลักษ์ ธรรมมา</t>
  </si>
  <si>
    <t>อานนท์ พิมพ์มุ่งหวาย</t>
  </si>
  <si>
    <t>อานุภาพ  พรำนัก</t>
  </si>
  <si>
    <t>เอกรัตน์ อินกล่ำ</t>
  </si>
  <si>
    <t>นายภูเบศวร์  ภูหัวไร่</t>
  </si>
  <si>
    <t>นายณัฐฑริกา  ชามา</t>
  </si>
  <si>
    <t>นายอรรคเศษฐ    อาจทอง</t>
  </si>
  <si>
    <t>นายศุภชัย    รองแขวง</t>
  </si>
  <si>
    <t>นายเสกสิทธิ์   เพิ่มพิพัฒน์</t>
  </si>
  <si>
    <r>
      <rPr>
        <sz val="10"/>
        <rFont val="Tahoma"/>
        <charset val="134"/>
      </rPr>
      <t>อำนวย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กุลาปัตถา</t>
    </r>
  </si>
  <si>
    <r>
      <rPr>
        <sz val="10"/>
        <rFont val="Tahoma"/>
        <charset val="134"/>
      </rPr>
      <t>สันติ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พลูอ้น</t>
    </r>
  </si>
  <si>
    <r>
      <rPr>
        <sz val="10"/>
        <rFont val="Tahoma"/>
        <charset val="134"/>
      </rPr>
      <t>ณิชากร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คณะพันธ์</t>
    </r>
  </si>
  <si>
    <t>สุรีรัตน์  ชาติเผือก</t>
  </si>
  <si>
    <t>กฤษฎา ทัพสินคลา</t>
  </si>
  <si>
    <r>
      <rPr>
        <sz val="10"/>
        <rFont val="Tahoma"/>
        <charset val="134"/>
      </rPr>
      <t>สำราญ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สีทับทิม</t>
    </r>
  </si>
  <si>
    <r>
      <rPr>
        <sz val="10"/>
        <rFont val="Tahoma"/>
        <charset val="134"/>
      </rPr>
      <t>บุญทวย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แสงสว่าง</t>
    </r>
  </si>
  <si>
    <r>
      <rPr>
        <sz val="10"/>
        <rFont val="Tahoma"/>
        <charset val="134"/>
      </rPr>
      <t>พุธ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ศรีปัตเนตร</t>
    </r>
  </si>
  <si>
    <t>อิบรอเหม ยือลาแป</t>
  </si>
  <si>
    <t>อารอฟัต  กือจิ</t>
  </si>
  <si>
    <r>
      <rPr>
        <sz val="10"/>
        <rFont val="Tahoma"/>
        <charset val="134"/>
      </rPr>
      <t>นิริด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มลิวัลย์</t>
    </r>
  </si>
  <si>
    <r>
      <rPr>
        <sz val="10"/>
        <rFont val="Tahoma"/>
        <charset val="134"/>
      </rPr>
      <t>รังสรรค์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อินมาสม</t>
    </r>
  </si>
  <si>
    <t>ฮานีซะห์ หะวัน</t>
  </si>
  <si>
    <t>สนธยา  สุดแน่น</t>
  </si>
  <si>
    <r>
      <rPr>
        <sz val="10"/>
        <rFont val="Tahoma"/>
        <charset val="134"/>
      </rPr>
      <t>สุริยา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สุดแน่น</t>
    </r>
  </si>
  <si>
    <r>
      <rPr>
        <sz val="10"/>
        <rFont val="Tahoma"/>
        <charset val="134"/>
      </rPr>
      <t>ฉลาม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ภูศรีสม</t>
    </r>
  </si>
  <si>
    <r>
      <rPr>
        <sz val="10"/>
        <rFont val="Tahoma"/>
        <charset val="134"/>
      </rPr>
      <t>สุริยา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แสงเพชร</t>
    </r>
  </si>
  <si>
    <t>นูรฮาฟีซาร์    ยือลาแป</t>
  </si>
  <si>
    <t>คุณสำเนียง  ขุนภิรมย์</t>
  </si>
  <si>
    <t>ดนัย   ราศรี</t>
  </si>
  <si>
    <t>สำอาง  พรหมมา (อายุเกิน)</t>
  </si>
  <si>
    <t>อดิศักดิ์  โพติยะ</t>
  </si>
  <si>
    <r>
      <rPr>
        <sz val="10"/>
        <rFont val="Tahoma"/>
        <charset val="134"/>
      </rPr>
      <t>เอกภัทร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ศรีจำปา</t>
    </r>
  </si>
  <si>
    <r>
      <rPr>
        <sz val="10"/>
        <rFont val="Tahoma"/>
        <charset val="134"/>
      </rPr>
      <t>อนุชา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แถวไธสง</t>
    </r>
  </si>
  <si>
    <r>
      <rPr>
        <sz val="10"/>
        <rFont val="Tahoma"/>
        <charset val="134"/>
      </rPr>
      <t>สรรชัย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ปาตู</t>
    </r>
  </si>
  <si>
    <r>
      <rPr>
        <sz val="10"/>
        <rFont val="Tahoma"/>
        <charset val="134"/>
      </rPr>
      <t>วัชรา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สงจวง</t>
    </r>
  </si>
  <si>
    <r>
      <rPr>
        <sz val="10"/>
        <rFont val="Tahoma"/>
        <charset val="134"/>
      </rPr>
      <t>อนุรักษ์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ไทยเดิม</t>
    </r>
  </si>
  <si>
    <r>
      <rPr>
        <sz val="10"/>
        <rFont val="Tahoma"/>
        <charset val="134"/>
      </rPr>
      <t>สายฝน</t>
    </r>
    <r>
      <rPr>
        <sz val="10"/>
        <rFont val="Calibri"/>
        <charset val="134"/>
      </rPr>
      <t xml:space="preserve">   </t>
    </r>
    <r>
      <rPr>
        <sz val="10"/>
        <rFont val="Tahoma"/>
        <charset val="134"/>
      </rPr>
      <t>ศรีบัณฑิตย์</t>
    </r>
  </si>
  <si>
    <r>
      <rPr>
        <sz val="10"/>
        <rFont val="Tahoma"/>
        <charset val="134"/>
      </rPr>
      <t>เทิน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อภัยโส</t>
    </r>
  </si>
  <si>
    <r>
      <rPr>
        <sz val="10"/>
        <rFont val="Tahoma"/>
        <charset val="134"/>
      </rPr>
      <t>ปราโมชย์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คะหาร</t>
    </r>
  </si>
  <si>
    <t>วันชัย   กลัดแก้ว(อายุเกิน)</t>
  </si>
  <si>
    <r>
      <rPr>
        <sz val="10"/>
        <rFont val="Tahoma"/>
        <charset val="134"/>
      </rPr>
      <t>นพรัตน์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ไชยทุมมา</t>
    </r>
  </si>
  <si>
    <t>คุณสมพร  สุรารักษ์</t>
  </si>
  <si>
    <r>
      <rPr>
        <sz val="10"/>
        <rFont val="Tahoma"/>
        <charset val="134"/>
      </rPr>
      <t>สุวรรณา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ผึ่งทอง</t>
    </r>
  </si>
  <si>
    <r>
      <rPr>
        <sz val="10"/>
        <rFont val="Tahoma"/>
        <charset val="134"/>
      </rPr>
      <t>นุศรา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กฤษมัย</t>
    </r>
  </si>
  <si>
    <r>
      <rPr>
        <sz val="10"/>
        <rFont val="Tahoma"/>
        <charset val="134"/>
      </rPr>
      <t>ปิยะ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แก้วบัวดี</t>
    </r>
  </si>
  <si>
    <r>
      <rPr>
        <sz val="10"/>
        <rFont val="Tahoma"/>
        <charset val="134"/>
      </rPr>
      <t>อนันท์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เตติชัย</t>
    </r>
  </si>
  <si>
    <r>
      <rPr>
        <sz val="10"/>
        <rFont val="Tahoma"/>
        <charset val="134"/>
      </rPr>
      <t>ทรงศักดิ์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บัวทอง</t>
    </r>
  </si>
  <si>
    <r>
      <rPr>
        <sz val="10"/>
        <rFont val="Tahoma"/>
        <charset val="134"/>
      </rPr>
      <t>วรรณยุทธ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วัฒนา</t>
    </r>
  </si>
  <si>
    <t>ภูวดล   ดารา</t>
  </si>
  <si>
    <r>
      <rPr>
        <sz val="10"/>
        <rFont val="Tahoma"/>
        <charset val="134"/>
      </rPr>
      <t>สุรศักดิ์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ฝาพับ</t>
    </r>
  </si>
  <si>
    <t>พูน  ระกิติ</t>
  </si>
  <si>
    <r>
      <rPr>
        <sz val="10"/>
        <rFont val="Tahoma"/>
        <charset val="134"/>
      </rPr>
      <t>สุวิชช์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เอี่ยมสะอาด</t>
    </r>
  </si>
  <si>
    <t>ปิยะรัตน์  รอดประเสริฐ(อายุเกิน)</t>
  </si>
  <si>
    <r>
      <rPr>
        <sz val="10"/>
        <rFont val="Tahoma"/>
        <charset val="134"/>
      </rPr>
      <t>พรเจตน์</t>
    </r>
    <r>
      <rPr>
        <sz val="10"/>
        <rFont val="Calibri"/>
        <charset val="134"/>
      </rPr>
      <t xml:space="preserve">   </t>
    </r>
    <r>
      <rPr>
        <sz val="10"/>
        <rFont val="Tahoma"/>
        <charset val="134"/>
      </rPr>
      <t>สำราญ</t>
    </r>
  </si>
  <si>
    <r>
      <rPr>
        <sz val="10"/>
        <rFont val="Tahoma"/>
        <charset val="134"/>
      </rPr>
      <t>ศิโรดม</t>
    </r>
    <r>
      <rPr>
        <sz val="10"/>
        <rFont val="Calibri"/>
        <charset val="134"/>
      </rPr>
      <t xml:space="preserve">   </t>
    </r>
    <r>
      <rPr>
        <sz val="10"/>
        <rFont val="Tahoma"/>
        <charset val="134"/>
      </rPr>
      <t>มีจินดา</t>
    </r>
  </si>
  <si>
    <r>
      <rPr>
        <sz val="10"/>
        <rFont val="Tahoma"/>
        <charset val="134"/>
      </rPr>
      <t>มงคลชัย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แซ่ลิ้ม</t>
    </r>
  </si>
  <si>
    <r>
      <rPr>
        <sz val="10"/>
        <rFont val="Tahoma"/>
        <charset val="134"/>
      </rPr>
      <t>เมฆ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ธนามิตร</t>
    </r>
  </si>
  <si>
    <r>
      <rPr>
        <sz val="10"/>
        <rFont val="Tahoma"/>
        <charset val="134"/>
      </rPr>
      <t>องอาจ</t>
    </r>
    <r>
      <rPr>
        <sz val="10"/>
        <rFont val="Calibri"/>
        <charset val="134"/>
      </rPr>
      <t xml:space="preserve">  </t>
    </r>
    <r>
      <rPr>
        <sz val="10"/>
        <rFont val="Tahoma"/>
        <charset val="134"/>
      </rPr>
      <t>ไชยมาตร</t>
    </r>
  </si>
  <si>
    <t>ฉลาด  โคตสุวรรณ์</t>
  </si>
  <si>
    <r>
      <rPr>
        <sz val="10"/>
        <rFont val="Tahoma"/>
        <charset val="134"/>
      </rPr>
      <t>อับดุล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กือจิ</t>
    </r>
  </si>
  <si>
    <r>
      <rPr>
        <sz val="10"/>
        <rFont val="Tahoma"/>
        <charset val="134"/>
      </rPr>
      <t>สุนทร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เพชรประโคน</t>
    </r>
  </si>
  <si>
    <r>
      <rPr>
        <sz val="10"/>
        <rFont val="Tahoma"/>
        <charset val="134"/>
      </rPr>
      <t>อมรรัตน์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อยู่กิน</t>
    </r>
  </si>
  <si>
    <r>
      <t>ทองหยด</t>
    </r>
    <r>
      <rPr>
        <sz val="10"/>
        <rFont val="Calibri"/>
        <charset val="134"/>
      </rPr>
      <t xml:space="preserve"> </t>
    </r>
    <r>
      <rPr>
        <sz val="10"/>
        <rFont val="Tahoma"/>
        <charset val="134"/>
      </rPr>
      <t>ภมิจิตต์</t>
    </r>
  </si>
  <si>
    <t>คำภา สังกะพันธ์</t>
  </si>
  <si>
    <t>พงษ์เพชร พิมมาลีจา</t>
  </si>
  <si>
    <t>แสง อักษรทอง</t>
  </si>
  <si>
    <t>ดำรงค์ เรียบผา</t>
  </si>
  <si>
    <t>ธนพล กาบขุนทด</t>
  </si>
  <si>
    <t>องอาจ ผดุงพรรค์</t>
  </si>
  <si>
    <t>นิติพัฒน์ ธาตุทองคำ</t>
  </si>
  <si>
    <t>มานะ นพวัน</t>
  </si>
  <si>
    <t>สมศักดิ์ โพธินาม(อายุเกิน)</t>
  </si>
  <si>
    <t>ทศพล ไพรวัน</t>
  </si>
  <si>
    <t>กาญจนา ประเสริฐทรัพย์</t>
  </si>
  <si>
    <t>คำพัน วงษ์จำปา</t>
  </si>
  <si>
    <t>สมบัติ พื้นดอนเค็ง</t>
  </si>
  <si>
    <t>ไสว แสงสกุล</t>
  </si>
  <si>
    <t>สไรดี ตือบิงหม๊ะ</t>
  </si>
  <si>
    <t>เพชรพญา วงศ์คำ</t>
  </si>
  <si>
    <t>ณัฐพล ทองใบ</t>
  </si>
  <si>
    <t>อรรถพงษ์ ทองดอนเหมือน</t>
  </si>
  <si>
    <t>นพชัย โล้หนู</t>
  </si>
  <si>
    <t>พงศธร กลิ่นกุหลาบ</t>
  </si>
  <si>
    <t>ยศกร เอี่ยมสะอาด</t>
  </si>
  <si>
    <t>พาตีเม๊าะ ยือลาแป</t>
  </si>
  <si>
    <t>เสกสรรค์ สุขแก้ว</t>
  </si>
  <si>
    <t>มณีพงษ์ อาษาสาม</t>
  </si>
  <si>
    <t>ธันยามลต์ ปภูสโร</t>
  </si>
  <si>
    <t>อารีซัน กือเต็ง</t>
  </si>
  <si>
    <t>อนุวัฒน์ สมสามาลย์</t>
  </si>
  <si>
    <t>ประวิทย์ พาเรือง</t>
  </si>
  <si>
    <t>ทวีศักดิ์ นึกมี</t>
  </si>
  <si>
    <t>สุวิท ริยา</t>
  </si>
  <si>
    <t>พีรดล ชูเมือง</t>
  </si>
  <si>
    <t>บุญญฤทธิ์ หมู่สูงเนิน</t>
  </si>
  <si>
    <t>วิศิษฎ์ ขบวนนำศักดิ์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</si>
</sst>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* #,##0.00_-;\-* #,##0.00_-;_-* &quot;-&quot;??_-;_-@_-"/>
    <numFmt numFmtId="191" formatCode="0\-0000\-00000\-00\-0"/>
    <numFmt numFmtId="192" formatCode="_-* #,##0_-;\-* #,##0_-;_-* &quot;-&quot;??_-;_-@_-"/>
  </numFmts>
  <fonts count="6">
    <font>
      <sz val="14"/>
      <name val="Cordia New"/>
      <charset val="222"/>
    </font>
    <font>
      <sz val="10"/>
      <name val="Calibri"/>
      <charset val="134"/>
    </font>
    <font>
      <sz val="10"/>
      <name val="Tahoma"/>
      <charset val="134"/>
    </font>
    <font>
      <sz val="10"/>
      <color theme="1"/>
      <name val="Calibri"/>
      <charset val="134"/>
    </font>
    <font>
      <sz val="10"/>
      <color rgb="FFFF0000"/>
      <name val="Calibri"/>
      <charset val="134"/>
    </font>
    <font>
      <sz val="14"/>
      <name val="Cordia New"/>
      <charset val="22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87" fontId="5" fillId="0" borderId="0" applyFont="0" applyFill="0" applyBorder="0" applyAlignment="0" applyProtection="0"/>
  </cellStyleXfs>
  <cellXfs count="4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91" fontId="1" fillId="0" borderId="1" xfId="0" applyNumberFormat="1" applyFont="1" applyBorder="1" applyAlignment="1">
      <alignment horizontal="center" vertical="center"/>
    </xf>
    <xf numFmtId="187" fontId="1" fillId="0" borderId="1" xfId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Protection="1">
      <protection locked="0"/>
    </xf>
    <xf numFmtId="187" fontId="1" fillId="0" borderId="1" xfId="1" applyFont="1" applyFill="1" applyBorder="1" applyProtection="1">
      <protection locked="0"/>
    </xf>
    <xf numFmtId="191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92" fontId="1" fillId="0" borderId="1" xfId="1" applyNumberFormat="1" applyFont="1" applyFill="1" applyBorder="1" applyProtection="1">
      <protection locked="0"/>
    </xf>
    <xf numFmtId="0" fontId="2" fillId="0" borderId="1" xfId="1" applyNumberFormat="1" applyFont="1" applyFill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191" fontId="1" fillId="2" borderId="1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187" fontId="1" fillId="2" borderId="1" xfId="1" applyFont="1" applyFill="1" applyBorder="1" applyProtection="1"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left"/>
      <protection locked="0"/>
    </xf>
    <xf numFmtId="187" fontId="1" fillId="0" borderId="1" xfId="0" applyNumberFormat="1" applyFont="1" applyBorder="1" applyProtection="1">
      <protection locked="0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92" fontId="1" fillId="0" borderId="0" xfId="1" applyNumberFormat="1" applyFont="1" applyFill="1" applyAlignment="1">
      <alignment horizontal="center" vertical="center"/>
    </xf>
    <xf numFmtId="187" fontId="1" fillId="2" borderId="4" xfId="1" applyFont="1" applyFill="1" applyBorder="1" applyAlignment="1" applyProtection="1">
      <alignment horizontal="center" vertical="center"/>
    </xf>
    <xf numFmtId="187" fontId="1" fillId="0" borderId="3" xfId="1" applyFont="1" applyFill="1" applyBorder="1" applyAlignment="1" applyProtection="1">
      <alignment horizontal="center" vertical="center"/>
    </xf>
    <xf numFmtId="192" fontId="1" fillId="0" borderId="0" xfId="1" applyNumberFormat="1" applyFont="1" applyFill="1"/>
    <xf numFmtId="187" fontId="1" fillId="2" borderId="4" xfId="1" applyFont="1" applyFill="1" applyBorder="1" applyProtection="1"/>
    <xf numFmtId="187" fontId="1" fillId="0" borderId="3" xfId="1" applyFont="1" applyFill="1" applyBorder="1" applyProtection="1"/>
    <xf numFmtId="187" fontId="1" fillId="0" borderId="4" xfId="1" applyFont="1" applyFill="1" applyBorder="1" applyProtection="1"/>
    <xf numFmtId="192" fontId="1" fillId="2" borderId="0" xfId="1" applyNumberFormat="1" applyFont="1" applyFill="1"/>
    <xf numFmtId="187" fontId="1" fillId="2" borderId="3" xfId="1" applyFont="1" applyFill="1" applyBorder="1" applyProtection="1"/>
    <xf numFmtId="187" fontId="1" fillId="2" borderId="7" xfId="1" applyFont="1" applyFill="1" applyBorder="1" applyProtection="1"/>
    <xf numFmtId="187" fontId="3" fillId="2" borderId="1" xfId="1" applyFont="1" applyFill="1" applyBorder="1" applyProtection="1">
      <protection locked="0"/>
    </xf>
    <xf numFmtId="187" fontId="4" fillId="2" borderId="1" xfId="1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87" fontId="1" fillId="0" borderId="0" xfId="1" applyFont="1"/>
    <xf numFmtId="187" fontId="1" fillId="0" borderId="0" xfId="0" applyNumberFormat="1" applyFont="1"/>
    <xf numFmtId="187" fontId="1" fillId="0" borderId="3" xfId="0" applyNumberFormat="1" applyFont="1" applyBorder="1" applyAlignment="1">
      <alignment horizontal="center" vertical="center"/>
    </xf>
    <xf numFmtId="187" fontId="1" fillId="0" borderId="4" xfId="0" applyNumberFormat="1" applyFont="1" applyBorder="1" applyAlignment="1">
      <alignment horizontal="center" vertical="center"/>
    </xf>
    <xf numFmtId="187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uild356%20&#3610;&#3619;&#3636;&#3625;&#3633;&#3607;%20&#3610;&#3621;&#3641;%20&#3648;&#3611;&#3648;&#3611;&#3629;&#3619;&#3660;%20&#3592;&#3635;&#3585;&#3633;&#3604;%20&#3619;&#3634;&#3618;&#3648;&#3604;&#3639;&#3629;&#3609;/&#3610;&#3633;&#3597;&#3594;&#3637;/003-&#3616;&#3634;&#3625;&#3637;/&#3616;.&#3591;.&#3604;.1/2568/&#3648;&#3605;&#3619;&#3637;&#3618;&#3617;&#3648;&#3629;&#3585;&#3626;&#3634;&#3619;%20&#3616;&#3591;&#3604;.1&#3585;/&#3648;&#3585;&#3655;&#3610;%20&#3616;&#3591;&#3604;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T_Config"/>
      <sheetName val="Input"/>
      <sheetName val="WHT_Form"/>
      <sheetName val="WHT_Form 1ก"/>
      <sheetName val="WHT_Data"/>
      <sheetName val="DATA"/>
      <sheetName val="DATA2"/>
      <sheetName val="WHT_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0"/>
  <sheetViews>
    <sheetView tabSelected="1" topLeftCell="A27" zoomScale="70" zoomScaleNormal="70" workbookViewId="0">
      <pane xSplit="2" topLeftCell="C1" activePane="topRight" state="frozen"/>
      <selection pane="topRight" activeCell="E96" sqref="E96"/>
    </sheetView>
  </sheetViews>
  <sheetFormatPr defaultColWidth="4.42578125" defaultRowHeight="12.75"/>
  <cols>
    <col min="1" max="1" width="6.7109375" style="2" customWidth="1"/>
    <col min="2" max="2" width="35.42578125" style="2" customWidth="1"/>
    <col min="3" max="3" width="17.42578125" style="2" customWidth="1"/>
    <col min="4" max="4" width="11" style="2" customWidth="1"/>
    <col min="5" max="5" width="15.140625" style="2" customWidth="1"/>
    <col min="6" max="6" width="10.42578125" style="2" customWidth="1"/>
    <col min="7" max="7" width="12.7109375" style="2" customWidth="1"/>
    <col min="8" max="8" width="10.42578125" style="2" customWidth="1"/>
    <col min="9" max="9" width="11.85546875" style="2" customWidth="1"/>
    <col min="10" max="10" width="10.42578125" style="2" customWidth="1"/>
    <col min="11" max="11" width="12.42578125" style="2" customWidth="1"/>
    <col min="12" max="12" width="10.42578125" style="2" customWidth="1"/>
    <col min="13" max="13" width="13.28515625" style="2" customWidth="1"/>
    <col min="14" max="14" width="10.42578125" style="2" customWidth="1"/>
    <col min="15" max="15" width="13.28515625" style="2" customWidth="1"/>
    <col min="16" max="16" width="10.42578125" style="2" customWidth="1"/>
    <col min="17" max="17" width="12.42578125" style="2" customWidth="1"/>
    <col min="18" max="18" width="10.42578125" style="2" customWidth="1"/>
    <col min="19" max="19" width="15.140625" style="2" customWidth="1"/>
    <col min="20" max="20" width="10.42578125" style="2" customWidth="1"/>
    <col min="21" max="21" width="15.140625" style="2" customWidth="1"/>
    <col min="22" max="22" width="10.42578125" style="2" customWidth="1"/>
    <col min="23" max="23" width="13.28515625" style="2" customWidth="1"/>
    <col min="24" max="24" width="10.42578125" style="2" customWidth="1"/>
    <col min="25" max="25" width="12.42578125" style="2" customWidth="1"/>
    <col min="26" max="26" width="10.42578125" style="2" customWidth="1"/>
    <col min="27" max="27" width="11.85546875" style="2" customWidth="1"/>
    <col min="28" max="28" width="10.42578125" style="2" customWidth="1"/>
    <col min="29" max="29" width="5.42578125" style="2"/>
    <col min="30" max="30" width="15.140625" style="2" customWidth="1"/>
    <col min="31" max="31" width="17" style="2" customWidth="1"/>
    <col min="32" max="32" width="5.42578125" style="2" customWidth="1"/>
    <col min="33" max="16384" width="4.42578125" style="2"/>
  </cols>
  <sheetData>
    <row r="1" spans="1:31">
      <c r="A1" s="3" t="s">
        <v>0</v>
      </c>
      <c r="B1" s="4" t="s">
        <v>1</v>
      </c>
      <c r="C1" s="4" t="s">
        <v>2</v>
      </c>
      <c r="D1" s="3" t="s">
        <v>3</v>
      </c>
      <c r="E1" s="43" t="s">
        <v>4</v>
      </c>
      <c r="F1" s="44"/>
      <c r="G1" s="43" t="s">
        <v>5</v>
      </c>
      <c r="H1" s="44"/>
      <c r="I1" s="43" t="s">
        <v>6</v>
      </c>
      <c r="J1" s="44"/>
      <c r="K1" s="43" t="s">
        <v>7</v>
      </c>
      <c r="L1" s="44"/>
      <c r="M1" s="43" t="s">
        <v>8</v>
      </c>
      <c r="N1" s="44"/>
      <c r="O1" s="43" t="s">
        <v>9</v>
      </c>
      <c r="P1" s="44"/>
      <c r="Q1" s="43" t="s">
        <v>10</v>
      </c>
      <c r="R1" s="44"/>
      <c r="S1" s="43" t="s">
        <v>11</v>
      </c>
      <c r="T1" s="44"/>
      <c r="U1" s="43" t="s">
        <v>12</v>
      </c>
      <c r="V1" s="44"/>
      <c r="W1" s="43" t="s">
        <v>13</v>
      </c>
      <c r="X1" s="44"/>
      <c r="Y1" s="43" t="s">
        <v>14</v>
      </c>
      <c r="Z1" s="44"/>
      <c r="AA1" s="45" t="s">
        <v>15</v>
      </c>
      <c r="AB1" s="45"/>
      <c r="AC1" s="25"/>
      <c r="AD1" s="26" t="s">
        <v>16</v>
      </c>
      <c r="AE1" s="27" t="s">
        <v>17</v>
      </c>
    </row>
    <row r="2" spans="1:31">
      <c r="A2" s="5"/>
      <c r="B2" s="6"/>
      <c r="C2" s="7"/>
      <c r="D2" s="3"/>
      <c r="E2" s="8" t="s">
        <v>18</v>
      </c>
      <c r="F2" s="8" t="s">
        <v>19</v>
      </c>
      <c r="G2" s="8" t="s">
        <v>18</v>
      </c>
      <c r="H2" s="8" t="s">
        <v>19</v>
      </c>
      <c r="I2" s="8" t="s">
        <v>18</v>
      </c>
      <c r="J2" s="8" t="s">
        <v>19</v>
      </c>
      <c r="K2" s="8" t="s">
        <v>18</v>
      </c>
      <c r="L2" s="8" t="s">
        <v>19</v>
      </c>
      <c r="M2" s="8" t="s">
        <v>18</v>
      </c>
      <c r="N2" s="8" t="s">
        <v>19</v>
      </c>
      <c r="O2" s="8" t="s">
        <v>18</v>
      </c>
      <c r="P2" s="8" t="s">
        <v>19</v>
      </c>
      <c r="Q2" s="8" t="s">
        <v>18</v>
      </c>
      <c r="R2" s="8" t="s">
        <v>19</v>
      </c>
      <c r="S2" s="8" t="s">
        <v>18</v>
      </c>
      <c r="T2" s="8" t="s">
        <v>19</v>
      </c>
      <c r="U2" s="8" t="s">
        <v>18</v>
      </c>
      <c r="V2" s="8" t="s">
        <v>19</v>
      </c>
      <c r="W2" s="8" t="s">
        <v>18</v>
      </c>
      <c r="X2" s="8" t="s">
        <v>19</v>
      </c>
      <c r="Y2" s="8" t="s">
        <v>18</v>
      </c>
      <c r="Z2" s="8" t="s">
        <v>19</v>
      </c>
      <c r="AA2" s="8" t="s">
        <v>18</v>
      </c>
      <c r="AB2" s="8" t="s">
        <v>19</v>
      </c>
      <c r="AC2" s="28"/>
      <c r="AD2" s="29" t="s">
        <v>18</v>
      </c>
      <c r="AE2" s="30" t="s">
        <v>19</v>
      </c>
    </row>
    <row r="3" spans="1:31">
      <c r="A3" s="46">
        <v>1</v>
      </c>
      <c r="B3" s="9" t="s">
        <v>20</v>
      </c>
      <c r="C3" s="7">
        <v>3340800007753</v>
      </c>
      <c r="D3" s="10"/>
      <c r="E3" s="11">
        <v>16606</v>
      </c>
      <c r="F3" s="11"/>
      <c r="G3" s="11">
        <v>15900</v>
      </c>
      <c r="H3" s="11"/>
      <c r="I3" s="11">
        <v>14840</v>
      </c>
      <c r="J3" s="11"/>
      <c r="K3" s="11">
        <v>13780</v>
      </c>
      <c r="L3" s="11"/>
      <c r="M3" s="11">
        <v>15193</v>
      </c>
      <c r="N3" s="11"/>
      <c r="O3" s="11">
        <v>15723</v>
      </c>
      <c r="P3" s="11"/>
      <c r="Q3" s="11">
        <v>16253</v>
      </c>
      <c r="R3" s="11"/>
      <c r="S3" s="11">
        <v>16783</v>
      </c>
      <c r="T3" s="11"/>
      <c r="U3" s="11">
        <v>16430</v>
      </c>
      <c r="V3" s="11"/>
      <c r="W3" s="11">
        <v>16253</v>
      </c>
      <c r="X3" s="11"/>
      <c r="Y3" s="11">
        <v>16430</v>
      </c>
      <c r="Z3" s="11"/>
      <c r="AA3" s="11">
        <v>18550</v>
      </c>
      <c r="AB3" s="11"/>
      <c r="AC3" s="31"/>
      <c r="AD3" s="32">
        <f>+E3+G3+I3+K3+M3+O3+Q3+S3+U3+W3+Y3+AA3</f>
        <v>192741</v>
      </c>
      <c r="AE3" s="33">
        <f>+F3+H3+J3+L3+N3+P3+R3+T3+V3+X3+Z3+AB3</f>
        <v>0</v>
      </c>
    </row>
    <row r="4" spans="1:31">
      <c r="A4" s="46">
        <v>2</v>
      </c>
      <c r="B4" s="6" t="s">
        <v>21</v>
      </c>
      <c r="C4" s="12">
        <v>3720100126659</v>
      </c>
      <c r="D4" s="10"/>
      <c r="E4" s="11">
        <v>17136</v>
      </c>
      <c r="F4" s="11"/>
      <c r="G4" s="11">
        <v>16430</v>
      </c>
      <c r="H4" s="11"/>
      <c r="I4" s="11">
        <v>14840</v>
      </c>
      <c r="J4" s="11"/>
      <c r="K4" s="11">
        <v>16430</v>
      </c>
      <c r="L4" s="11"/>
      <c r="M4" s="11">
        <v>16253</v>
      </c>
      <c r="N4" s="11"/>
      <c r="O4" s="11">
        <v>16783</v>
      </c>
      <c r="P4" s="11"/>
      <c r="Q4" s="11">
        <v>16253</v>
      </c>
      <c r="R4" s="11"/>
      <c r="S4" s="11">
        <v>16783</v>
      </c>
      <c r="T4" s="11"/>
      <c r="U4" s="11">
        <v>16430</v>
      </c>
      <c r="V4" s="11"/>
      <c r="W4" s="11">
        <v>14840</v>
      </c>
      <c r="X4" s="11"/>
      <c r="Y4" s="11">
        <v>15900</v>
      </c>
      <c r="Z4" s="11"/>
      <c r="AA4" s="11">
        <v>11660</v>
      </c>
      <c r="AB4" s="11"/>
      <c r="AC4" s="31"/>
      <c r="AD4" s="32">
        <f t="shared" ref="AD4:AE32" si="0">+E4+G4+I4+K4+M4+O4+Q4+S4+U4+W4+Y4+AA4</f>
        <v>189738</v>
      </c>
      <c r="AE4" s="33">
        <f t="shared" si="0"/>
        <v>0</v>
      </c>
    </row>
    <row r="5" spans="1:31">
      <c r="A5" s="46">
        <v>3</v>
      </c>
      <c r="B5" s="13" t="s">
        <v>22</v>
      </c>
      <c r="C5" s="12">
        <v>1103100474895</v>
      </c>
      <c r="D5" s="10"/>
      <c r="E5" s="11">
        <v>16253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31"/>
      <c r="AD5" s="34">
        <f t="shared" si="0"/>
        <v>16253</v>
      </c>
      <c r="AE5" s="33">
        <f t="shared" si="0"/>
        <v>0</v>
      </c>
    </row>
    <row r="6" spans="1:31">
      <c r="A6" s="46">
        <v>4</v>
      </c>
      <c r="B6" s="13" t="s">
        <v>23</v>
      </c>
      <c r="C6" s="12">
        <v>1330900328351</v>
      </c>
      <c r="D6" s="10"/>
      <c r="E6" s="11">
        <v>17866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31"/>
      <c r="AD6" s="34">
        <f t="shared" si="0"/>
        <v>17866</v>
      </c>
      <c r="AE6" s="33">
        <f t="shared" si="0"/>
        <v>0</v>
      </c>
    </row>
    <row r="7" spans="1:31">
      <c r="A7" s="46">
        <v>5</v>
      </c>
      <c r="B7" s="13" t="s">
        <v>24</v>
      </c>
      <c r="C7" s="12">
        <v>3849900312811</v>
      </c>
      <c r="D7" s="10"/>
      <c r="E7" s="11">
        <v>16766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31"/>
      <c r="AD7" s="34">
        <f t="shared" si="0"/>
        <v>16766</v>
      </c>
      <c r="AE7" s="33">
        <f t="shared" si="0"/>
        <v>0</v>
      </c>
    </row>
    <row r="8" spans="1:31">
      <c r="A8" s="46">
        <v>6</v>
      </c>
      <c r="B8" s="13" t="s">
        <v>25</v>
      </c>
      <c r="C8" s="12">
        <v>1609200004060</v>
      </c>
      <c r="D8" s="10"/>
      <c r="E8" s="11">
        <v>16766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31"/>
      <c r="AD8" s="34">
        <f t="shared" si="0"/>
        <v>16766</v>
      </c>
      <c r="AE8" s="33">
        <f t="shared" si="0"/>
        <v>0</v>
      </c>
    </row>
    <row r="9" spans="1:31">
      <c r="A9" s="46">
        <v>7</v>
      </c>
      <c r="B9" s="13" t="s">
        <v>26</v>
      </c>
      <c r="C9" s="12">
        <v>3410800073828</v>
      </c>
      <c r="D9" s="14"/>
      <c r="E9" s="11">
        <v>19196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24"/>
      <c r="S9" s="11"/>
      <c r="T9" s="11"/>
      <c r="U9" s="11"/>
      <c r="V9" s="11"/>
      <c r="W9" s="11"/>
      <c r="X9" s="11"/>
      <c r="Y9" s="11"/>
      <c r="Z9" s="11"/>
      <c r="AA9" s="11"/>
      <c r="AB9" s="11"/>
      <c r="AC9" s="31"/>
      <c r="AD9" s="34">
        <f t="shared" si="0"/>
        <v>19196</v>
      </c>
      <c r="AE9" s="33">
        <f t="shared" si="0"/>
        <v>0</v>
      </c>
    </row>
    <row r="10" spans="1:31">
      <c r="A10" s="46">
        <v>8</v>
      </c>
      <c r="B10" s="15" t="s">
        <v>27</v>
      </c>
      <c r="C10" s="12">
        <v>1199500184477</v>
      </c>
      <c r="D10" s="14"/>
      <c r="E10" s="11">
        <v>8038</v>
      </c>
      <c r="F10" s="11"/>
      <c r="G10" s="11">
        <v>2586</v>
      </c>
      <c r="H10" s="11"/>
      <c r="I10" s="11">
        <v>9796</v>
      </c>
      <c r="J10" s="11"/>
      <c r="K10" s="11">
        <v>19428</v>
      </c>
      <c r="L10" s="11"/>
      <c r="M10" s="11">
        <v>11039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31"/>
      <c r="AD10" s="34">
        <f t="shared" si="0"/>
        <v>50887</v>
      </c>
      <c r="AE10" s="33">
        <f t="shared" si="0"/>
        <v>0</v>
      </c>
    </row>
    <row r="11" spans="1:31">
      <c r="A11" s="46">
        <v>9</v>
      </c>
      <c r="B11" s="13" t="s">
        <v>28</v>
      </c>
      <c r="C11" s="12">
        <v>1608800005431</v>
      </c>
      <c r="D11" s="14"/>
      <c r="E11" s="11">
        <v>14204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31"/>
      <c r="AD11" s="34">
        <f t="shared" si="0"/>
        <v>14204</v>
      </c>
      <c r="AE11" s="33">
        <f t="shared" si="0"/>
        <v>0</v>
      </c>
    </row>
    <row r="12" spans="1:31">
      <c r="A12" s="46">
        <v>10</v>
      </c>
      <c r="B12" s="16" t="s">
        <v>29</v>
      </c>
      <c r="C12" s="12">
        <v>1361200016835</v>
      </c>
      <c r="D12" s="14"/>
      <c r="E12" s="11">
        <v>17716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31"/>
      <c r="AD12" s="34">
        <f t="shared" si="0"/>
        <v>17716</v>
      </c>
      <c r="AE12" s="33">
        <f t="shared" si="0"/>
        <v>0</v>
      </c>
    </row>
    <row r="13" spans="1:31">
      <c r="A13" s="46">
        <v>11</v>
      </c>
      <c r="B13" s="13" t="s">
        <v>30</v>
      </c>
      <c r="C13" s="12">
        <v>3451000057993</v>
      </c>
      <c r="D13" s="14"/>
      <c r="E13" s="11">
        <v>16766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31"/>
      <c r="AD13" s="34">
        <f t="shared" si="0"/>
        <v>16766</v>
      </c>
      <c r="AE13" s="33">
        <f t="shared" si="0"/>
        <v>0</v>
      </c>
    </row>
    <row r="14" spans="1:31">
      <c r="A14" s="46">
        <v>12</v>
      </c>
      <c r="B14" s="16" t="s">
        <v>31</v>
      </c>
      <c r="C14" s="12">
        <v>3480600206379</v>
      </c>
      <c r="D14" s="10"/>
      <c r="E14" s="11">
        <v>17296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31"/>
      <c r="AD14" s="34">
        <f t="shared" si="0"/>
        <v>17296</v>
      </c>
      <c r="AE14" s="33">
        <f t="shared" si="0"/>
        <v>0</v>
      </c>
    </row>
    <row r="15" spans="1:31">
      <c r="A15" s="46">
        <v>13</v>
      </c>
      <c r="B15" s="13" t="s">
        <v>32</v>
      </c>
      <c r="C15" s="12">
        <v>1320300020321</v>
      </c>
      <c r="D15" s="10"/>
      <c r="E15" s="11">
        <v>16766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31"/>
      <c r="AD15" s="34">
        <f t="shared" si="0"/>
        <v>16766</v>
      </c>
      <c r="AE15" s="33">
        <f t="shared" si="0"/>
        <v>0</v>
      </c>
    </row>
    <row r="16" spans="1:31" s="1" customFormat="1">
      <c r="A16" s="46">
        <v>14</v>
      </c>
      <c r="B16" s="17" t="s">
        <v>33</v>
      </c>
      <c r="C16" s="18">
        <v>1331300102328</v>
      </c>
      <c r="D16" s="19"/>
      <c r="E16" s="20">
        <v>15229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35"/>
      <c r="AD16" s="32">
        <f t="shared" si="0"/>
        <v>15229</v>
      </c>
      <c r="AE16" s="36">
        <f t="shared" si="0"/>
        <v>0</v>
      </c>
    </row>
    <row r="17" spans="1:31" s="1" customFormat="1">
      <c r="A17" s="46">
        <v>15</v>
      </c>
      <c r="B17" s="17" t="s">
        <v>34</v>
      </c>
      <c r="C17" s="18">
        <v>1179900158829</v>
      </c>
      <c r="D17" s="19"/>
      <c r="E17" s="20">
        <v>2915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35"/>
      <c r="AD17" s="32">
        <f t="shared" si="0"/>
        <v>2915</v>
      </c>
      <c r="AE17" s="36">
        <f t="shared" si="0"/>
        <v>0</v>
      </c>
    </row>
    <row r="18" spans="1:31" s="1" customFormat="1">
      <c r="A18" s="46">
        <v>16</v>
      </c>
      <c r="B18" s="17" t="s">
        <v>35</v>
      </c>
      <c r="C18" s="18">
        <v>1331500061528</v>
      </c>
      <c r="D18" s="19"/>
      <c r="E18" s="20">
        <v>15741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35"/>
      <c r="AD18" s="32">
        <f t="shared" si="0"/>
        <v>15741</v>
      </c>
      <c r="AE18" s="36">
        <f t="shared" si="0"/>
        <v>0</v>
      </c>
    </row>
    <row r="19" spans="1:31" s="1" customFormat="1">
      <c r="A19" s="46">
        <v>17</v>
      </c>
      <c r="B19" s="17" t="s">
        <v>36</v>
      </c>
      <c r="C19" s="18">
        <v>3530800036719</v>
      </c>
      <c r="D19" s="19"/>
      <c r="E19" s="20">
        <v>13161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35"/>
      <c r="AD19" s="32">
        <f>+E19+G19+I19+K19+M19+O19+Q19+S19+U19+W19+Y19+AA19</f>
        <v>13161</v>
      </c>
      <c r="AE19" s="36">
        <f>+F19+H19+J19+L19+N19+P19+R19+T19+V19+X19+Z19+AB19</f>
        <v>0</v>
      </c>
    </row>
    <row r="20" spans="1:31" s="1" customFormat="1">
      <c r="A20" s="46">
        <v>18</v>
      </c>
      <c r="B20" s="17" t="s">
        <v>37</v>
      </c>
      <c r="C20" s="18">
        <v>1460700131960</v>
      </c>
      <c r="D20" s="19"/>
      <c r="E20" s="20">
        <v>34250</v>
      </c>
      <c r="F20" s="20"/>
      <c r="G20" s="20">
        <v>34250</v>
      </c>
      <c r="H20" s="20"/>
      <c r="I20" s="20">
        <v>34250</v>
      </c>
      <c r="J20" s="20"/>
      <c r="K20" s="20">
        <v>34250</v>
      </c>
      <c r="L20" s="20"/>
      <c r="M20" s="20">
        <v>34250</v>
      </c>
      <c r="N20" s="20"/>
      <c r="O20" s="20">
        <v>34250</v>
      </c>
      <c r="P20" s="20"/>
      <c r="Q20" s="20">
        <v>34250</v>
      </c>
      <c r="R20" s="20"/>
      <c r="S20" s="20">
        <v>34250</v>
      </c>
      <c r="T20" s="20"/>
      <c r="U20" s="20">
        <v>34250</v>
      </c>
      <c r="V20" s="20"/>
      <c r="W20" s="20">
        <v>34250</v>
      </c>
      <c r="X20" s="20"/>
      <c r="Y20" s="20">
        <v>34250</v>
      </c>
      <c r="Z20" s="20"/>
      <c r="AA20" s="20">
        <v>34250</v>
      </c>
      <c r="AB20" s="20"/>
      <c r="AC20" s="35"/>
      <c r="AD20" s="32">
        <f>+E20+G20+I20+K20+M20+O20+Q20+S20+U20+W20+Y20+AA20</f>
        <v>411000</v>
      </c>
      <c r="AE20" s="36">
        <f>+F20+H20+J20+L20+N20+P20+R20+T20+V20+X20+Z20+AB20</f>
        <v>0</v>
      </c>
    </row>
    <row r="21" spans="1:31" s="1" customFormat="1">
      <c r="A21" s="46">
        <v>19</v>
      </c>
      <c r="B21" s="21" t="s">
        <v>38</v>
      </c>
      <c r="C21" s="18">
        <v>1430200244757</v>
      </c>
      <c r="D21" s="19"/>
      <c r="E21" s="20">
        <v>24250</v>
      </c>
      <c r="F21" s="20"/>
      <c r="G21" s="20">
        <v>24250</v>
      </c>
      <c r="H21" s="20"/>
      <c r="I21" s="20">
        <v>24250</v>
      </c>
      <c r="J21" s="20"/>
      <c r="K21" s="20">
        <v>24250</v>
      </c>
      <c r="L21" s="20"/>
      <c r="M21" s="20">
        <v>25250</v>
      </c>
      <c r="N21" s="20"/>
      <c r="O21" s="20">
        <v>24250</v>
      </c>
      <c r="P21" s="20"/>
      <c r="Q21" s="20">
        <v>24250</v>
      </c>
      <c r="R21" s="20"/>
      <c r="S21" s="20">
        <v>24250</v>
      </c>
      <c r="T21" s="20"/>
      <c r="U21" s="20">
        <v>24250</v>
      </c>
      <c r="V21" s="20"/>
      <c r="W21" s="20">
        <v>24250</v>
      </c>
      <c r="X21" s="20"/>
      <c r="Y21" s="20">
        <v>24250</v>
      </c>
      <c r="Z21" s="20"/>
      <c r="AA21" s="20">
        <v>24250</v>
      </c>
      <c r="AB21" s="20"/>
      <c r="AC21" s="35"/>
      <c r="AD21" s="32">
        <f t="shared" si="0"/>
        <v>292000</v>
      </c>
      <c r="AE21" s="36">
        <f t="shared" si="0"/>
        <v>0</v>
      </c>
    </row>
    <row r="22" spans="1:31" s="1" customFormat="1">
      <c r="A22" s="46">
        <v>20</v>
      </c>
      <c r="B22" s="21" t="s">
        <v>39</v>
      </c>
      <c r="C22" s="18">
        <v>1100702428849</v>
      </c>
      <c r="D22" s="19"/>
      <c r="E22" s="20">
        <v>24250</v>
      </c>
      <c r="F22" s="20"/>
      <c r="G22" s="20">
        <v>24250</v>
      </c>
      <c r="H22" s="20"/>
      <c r="I22" s="20">
        <v>24250</v>
      </c>
      <c r="J22" s="20"/>
      <c r="K22" s="20">
        <v>24250</v>
      </c>
      <c r="L22" s="20"/>
      <c r="M22" s="20">
        <v>24250</v>
      </c>
      <c r="N22" s="20"/>
      <c r="O22" s="20">
        <v>24250</v>
      </c>
      <c r="P22" s="20"/>
      <c r="Q22" s="20">
        <v>24250</v>
      </c>
      <c r="R22" s="20"/>
      <c r="S22" s="20">
        <v>24250</v>
      </c>
      <c r="T22" s="20"/>
      <c r="U22" s="20">
        <v>24250</v>
      </c>
      <c r="V22" s="20"/>
      <c r="W22" s="20">
        <v>15916</v>
      </c>
      <c r="X22" s="20"/>
      <c r="Y22" s="20"/>
      <c r="Z22" s="20"/>
      <c r="AA22" s="20"/>
      <c r="AB22" s="20"/>
      <c r="AC22" s="35"/>
      <c r="AD22" s="32">
        <f t="shared" si="0"/>
        <v>234166</v>
      </c>
      <c r="AE22" s="36">
        <f t="shared" si="0"/>
        <v>0</v>
      </c>
    </row>
    <row r="23" spans="1:31" s="1" customFormat="1">
      <c r="A23" s="46">
        <v>21</v>
      </c>
      <c r="B23" s="17" t="s">
        <v>40</v>
      </c>
      <c r="C23" s="18">
        <v>3430200629043</v>
      </c>
      <c r="D23" s="19"/>
      <c r="E23" s="20">
        <v>8550</v>
      </c>
      <c r="F23" s="20"/>
      <c r="G23" s="20">
        <v>8550</v>
      </c>
      <c r="H23" s="20"/>
      <c r="I23" s="20">
        <v>8550</v>
      </c>
      <c r="J23" s="20"/>
      <c r="K23" s="20">
        <v>8550</v>
      </c>
      <c r="L23" s="20"/>
      <c r="M23" s="20">
        <v>4275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35"/>
      <c r="AD23" s="32">
        <f t="shared" si="0"/>
        <v>38475</v>
      </c>
      <c r="AE23" s="36">
        <f t="shared" si="0"/>
        <v>0</v>
      </c>
    </row>
    <row r="24" spans="1:31" s="1" customFormat="1">
      <c r="A24" s="46">
        <v>22</v>
      </c>
      <c r="B24" s="17" t="s">
        <v>41</v>
      </c>
      <c r="C24" s="18">
        <v>3609900803506</v>
      </c>
      <c r="D24" s="19"/>
      <c r="E24" s="20">
        <v>24250</v>
      </c>
      <c r="F24" s="20"/>
      <c r="G24" s="20">
        <v>24250</v>
      </c>
      <c r="H24" s="20"/>
      <c r="I24" s="20">
        <v>24250</v>
      </c>
      <c r="J24" s="20"/>
      <c r="K24" s="20">
        <v>24250</v>
      </c>
      <c r="L24" s="20"/>
      <c r="M24" s="20">
        <v>24250</v>
      </c>
      <c r="N24" s="20"/>
      <c r="O24" s="20">
        <v>24250</v>
      </c>
      <c r="P24" s="20"/>
      <c r="Q24" s="20">
        <v>24250</v>
      </c>
      <c r="R24" s="20"/>
      <c r="S24" s="20">
        <v>24250</v>
      </c>
      <c r="T24" s="20"/>
      <c r="U24" s="20">
        <v>24250</v>
      </c>
      <c r="V24" s="20"/>
      <c r="W24" s="20">
        <v>24250</v>
      </c>
      <c r="X24" s="20"/>
      <c r="Y24" s="20">
        <v>24250</v>
      </c>
      <c r="Z24" s="20"/>
      <c r="AA24" s="20">
        <v>24250</v>
      </c>
      <c r="AB24" s="20"/>
      <c r="AC24" s="35"/>
      <c r="AD24" s="32">
        <f t="shared" si="0"/>
        <v>291000</v>
      </c>
      <c r="AE24" s="36">
        <f t="shared" si="0"/>
        <v>0</v>
      </c>
    </row>
    <row r="25" spans="1:31" s="1" customFormat="1">
      <c r="A25" s="46">
        <v>23</v>
      </c>
      <c r="B25" s="22" t="s">
        <v>42</v>
      </c>
      <c r="C25" s="18">
        <v>3310500200612</v>
      </c>
      <c r="D25" s="19"/>
      <c r="E25" s="20">
        <v>21099</v>
      </c>
      <c r="F25" s="20"/>
      <c r="G25" s="20">
        <v>23514</v>
      </c>
      <c r="H25" s="20"/>
      <c r="I25" s="20">
        <v>20293</v>
      </c>
      <c r="J25" s="20"/>
      <c r="K25" s="20">
        <v>22059</v>
      </c>
      <c r="L25" s="20"/>
      <c r="M25" s="20">
        <v>22334</v>
      </c>
      <c r="N25" s="20"/>
      <c r="O25" s="20">
        <v>20746</v>
      </c>
      <c r="P25" s="20"/>
      <c r="Q25" s="20">
        <v>20169</v>
      </c>
      <c r="R25" s="20"/>
      <c r="S25" s="20">
        <v>20494</v>
      </c>
      <c r="T25" s="20"/>
      <c r="U25" s="20">
        <v>21762</v>
      </c>
      <c r="V25" s="20"/>
      <c r="W25" s="20">
        <v>20971</v>
      </c>
      <c r="X25" s="20"/>
      <c r="Y25" s="20">
        <v>23835</v>
      </c>
      <c r="Z25" s="20"/>
      <c r="AA25" s="20"/>
      <c r="AB25" s="20"/>
      <c r="AC25" s="35"/>
      <c r="AD25" s="32">
        <f t="shared" si="0"/>
        <v>237276</v>
      </c>
      <c r="AE25" s="36">
        <f t="shared" si="0"/>
        <v>0</v>
      </c>
    </row>
    <row r="26" spans="1:31" s="1" customFormat="1">
      <c r="A26" s="46">
        <v>24</v>
      </c>
      <c r="B26" s="23" t="s">
        <v>43</v>
      </c>
      <c r="C26" s="18">
        <v>3600900610891</v>
      </c>
      <c r="D26" s="19"/>
      <c r="E26" s="20">
        <v>18097</v>
      </c>
      <c r="F26" s="20"/>
      <c r="G26" s="20">
        <v>18226</v>
      </c>
      <c r="H26" s="20"/>
      <c r="I26" s="20">
        <v>6101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35"/>
      <c r="AD26" s="32">
        <f t="shared" si="0"/>
        <v>42424</v>
      </c>
      <c r="AE26" s="36">
        <f t="shared" si="0"/>
        <v>0</v>
      </c>
    </row>
    <row r="27" spans="1:31" s="1" customFormat="1">
      <c r="A27" s="46">
        <v>25</v>
      </c>
      <c r="B27" s="23" t="s">
        <v>44</v>
      </c>
      <c r="C27" s="18">
        <v>3341400008532</v>
      </c>
      <c r="D27" s="19"/>
      <c r="E27" s="20">
        <v>20099</v>
      </c>
      <c r="F27" s="20"/>
      <c r="G27" s="20">
        <v>18549</v>
      </c>
      <c r="H27" s="20"/>
      <c r="I27" s="20">
        <v>17648</v>
      </c>
      <c r="J27" s="20"/>
      <c r="K27" s="20">
        <v>20419</v>
      </c>
      <c r="L27" s="20"/>
      <c r="M27" s="20">
        <v>18001</v>
      </c>
      <c r="N27" s="20"/>
      <c r="O27" s="20">
        <v>19746</v>
      </c>
      <c r="P27" s="20"/>
      <c r="Q27" s="20">
        <v>18609</v>
      </c>
      <c r="R27" s="20"/>
      <c r="S27" s="20">
        <v>20194</v>
      </c>
      <c r="T27" s="20"/>
      <c r="U27" s="20">
        <v>20504</v>
      </c>
      <c r="V27" s="20"/>
      <c r="W27" s="20">
        <v>19941</v>
      </c>
      <c r="X27" s="20"/>
      <c r="Y27" s="20">
        <v>19569</v>
      </c>
      <c r="Z27" s="20"/>
      <c r="AA27" s="20"/>
      <c r="AB27" s="20"/>
      <c r="AC27" s="35"/>
      <c r="AD27" s="32">
        <f t="shared" si="0"/>
        <v>213279</v>
      </c>
      <c r="AE27" s="36">
        <f t="shared" si="0"/>
        <v>0</v>
      </c>
    </row>
    <row r="28" spans="1:31" s="1" customFormat="1">
      <c r="A28" s="46">
        <v>26</v>
      </c>
      <c r="B28" s="21" t="s">
        <v>45</v>
      </c>
      <c r="C28" s="18">
        <v>3640900142129</v>
      </c>
      <c r="D28" s="19"/>
      <c r="E28" s="20">
        <v>19557</v>
      </c>
      <c r="F28" s="20"/>
      <c r="G28" s="20">
        <v>18644</v>
      </c>
      <c r="H28" s="20"/>
      <c r="I28" s="20">
        <v>17626</v>
      </c>
      <c r="J28" s="20"/>
      <c r="K28" s="20">
        <v>19720</v>
      </c>
      <c r="L28" s="20"/>
      <c r="M28" s="20">
        <v>18061</v>
      </c>
      <c r="N28" s="20"/>
      <c r="O28" s="20">
        <v>19751</v>
      </c>
      <c r="P28" s="20"/>
      <c r="Q28" s="20">
        <v>18094</v>
      </c>
      <c r="R28" s="20"/>
      <c r="S28" s="20">
        <v>18767</v>
      </c>
      <c r="T28" s="20"/>
      <c r="U28" s="20">
        <v>20276</v>
      </c>
      <c r="V28" s="20"/>
      <c r="W28" s="20">
        <v>18297</v>
      </c>
      <c r="X28" s="20"/>
      <c r="Y28" s="20">
        <v>19655</v>
      </c>
      <c r="Z28" s="20"/>
      <c r="AA28" s="20"/>
      <c r="AB28" s="20"/>
      <c r="AC28" s="35"/>
      <c r="AD28" s="32">
        <f t="shared" si="0"/>
        <v>208448</v>
      </c>
      <c r="AE28" s="36">
        <f t="shared" si="0"/>
        <v>0</v>
      </c>
    </row>
    <row r="29" spans="1:31" s="1" customFormat="1">
      <c r="A29" s="46">
        <v>27</v>
      </c>
      <c r="B29" s="17" t="s">
        <v>46</v>
      </c>
      <c r="C29" s="18">
        <v>1189900097405</v>
      </c>
      <c r="D29" s="19"/>
      <c r="E29" s="20">
        <v>15069</v>
      </c>
      <c r="F29" s="20"/>
      <c r="G29" s="20">
        <v>15776</v>
      </c>
      <c r="H29" s="20"/>
      <c r="I29" s="20">
        <v>13869</v>
      </c>
      <c r="J29" s="20"/>
      <c r="K29" s="20">
        <v>17030</v>
      </c>
      <c r="L29" s="20"/>
      <c r="M29" s="20">
        <v>15246</v>
      </c>
      <c r="N29" s="20"/>
      <c r="O29" s="20">
        <v>18921</v>
      </c>
      <c r="P29" s="20"/>
      <c r="Q29" s="20">
        <v>15776</v>
      </c>
      <c r="R29" s="20"/>
      <c r="S29" s="20">
        <v>17154</v>
      </c>
      <c r="T29" s="20"/>
      <c r="U29" s="20">
        <v>17317</v>
      </c>
      <c r="V29" s="20"/>
      <c r="W29" s="20">
        <v>16591</v>
      </c>
      <c r="X29" s="20"/>
      <c r="Y29" s="20">
        <v>17913</v>
      </c>
      <c r="Z29" s="20"/>
      <c r="AA29" s="20"/>
      <c r="AB29" s="20"/>
      <c r="AC29" s="35"/>
      <c r="AD29" s="32">
        <f t="shared" si="0"/>
        <v>180662</v>
      </c>
      <c r="AE29" s="36">
        <f t="shared" si="0"/>
        <v>0</v>
      </c>
    </row>
    <row r="30" spans="1:31" s="1" customFormat="1">
      <c r="A30" s="46">
        <v>28</v>
      </c>
      <c r="B30" s="22" t="s">
        <v>47</v>
      </c>
      <c r="C30" s="18">
        <v>3450900077728</v>
      </c>
      <c r="D30" s="19"/>
      <c r="E30" s="20">
        <v>17384</v>
      </c>
      <c r="F30" s="20"/>
      <c r="G30" s="20">
        <v>16519</v>
      </c>
      <c r="H30" s="20"/>
      <c r="I30" s="20">
        <v>15081</v>
      </c>
      <c r="J30" s="20"/>
      <c r="K30" s="20">
        <v>17767</v>
      </c>
      <c r="L30" s="20"/>
      <c r="M30" s="20">
        <v>14349</v>
      </c>
      <c r="N30" s="20"/>
      <c r="O30" s="20">
        <v>17031</v>
      </c>
      <c r="P30" s="20"/>
      <c r="Q30" s="20">
        <v>16499</v>
      </c>
      <c r="R30" s="20"/>
      <c r="S30" s="20">
        <v>16832</v>
      </c>
      <c r="T30" s="20"/>
      <c r="U30" s="20">
        <v>16979</v>
      </c>
      <c r="V30" s="20"/>
      <c r="W30" s="20">
        <v>17351</v>
      </c>
      <c r="X30" s="20"/>
      <c r="Y30" s="20">
        <v>18087</v>
      </c>
      <c r="Z30" s="20"/>
      <c r="AA30" s="20"/>
      <c r="AB30" s="20"/>
      <c r="AC30" s="35"/>
      <c r="AD30" s="32">
        <f t="shared" si="0"/>
        <v>183879</v>
      </c>
      <c r="AE30" s="36">
        <f t="shared" si="0"/>
        <v>0</v>
      </c>
    </row>
    <row r="31" spans="1:31" s="1" customFormat="1">
      <c r="A31" s="46">
        <v>29</v>
      </c>
      <c r="B31" s="22" t="s">
        <v>48</v>
      </c>
      <c r="C31" s="18">
        <v>3650800203681</v>
      </c>
      <c r="D31" s="19"/>
      <c r="E31" s="20">
        <v>17666</v>
      </c>
      <c r="F31" s="20"/>
      <c r="G31" s="20">
        <v>17349</v>
      </c>
      <c r="H31" s="20"/>
      <c r="I31" s="20">
        <v>13886</v>
      </c>
      <c r="J31" s="20"/>
      <c r="K31" s="20">
        <v>16977</v>
      </c>
      <c r="L31" s="20"/>
      <c r="M31" s="20">
        <v>17349</v>
      </c>
      <c r="N31" s="20"/>
      <c r="O31" s="20">
        <v>16271</v>
      </c>
      <c r="P31" s="20"/>
      <c r="Q31" s="20">
        <v>15759</v>
      </c>
      <c r="R31" s="20"/>
      <c r="S31" s="20">
        <v>16112</v>
      </c>
      <c r="T31" s="20"/>
      <c r="U31" s="20">
        <v>18414</v>
      </c>
      <c r="V31" s="20"/>
      <c r="W31" s="20">
        <v>16591</v>
      </c>
      <c r="X31" s="20"/>
      <c r="Y31" s="20">
        <v>16777</v>
      </c>
      <c r="Z31" s="20"/>
      <c r="AA31" s="20"/>
      <c r="AB31" s="20"/>
      <c r="AC31" s="35"/>
      <c r="AD31" s="32">
        <f t="shared" si="0"/>
        <v>183151</v>
      </c>
      <c r="AE31" s="36">
        <f t="shared" si="0"/>
        <v>0</v>
      </c>
    </row>
    <row r="32" spans="1:31" s="1" customFormat="1">
      <c r="A32" s="46">
        <v>30</v>
      </c>
      <c r="B32" s="22" t="s">
        <v>49</v>
      </c>
      <c r="C32" s="18">
        <v>2330100025955</v>
      </c>
      <c r="D32" s="19"/>
      <c r="E32" s="20">
        <v>16129</v>
      </c>
      <c r="F32" s="20"/>
      <c r="G32" s="20">
        <v>16819</v>
      </c>
      <c r="H32" s="20"/>
      <c r="I32" s="20">
        <v>15441</v>
      </c>
      <c r="J32" s="20"/>
      <c r="K32" s="20">
        <v>15493</v>
      </c>
      <c r="L32" s="20"/>
      <c r="M32" s="20">
        <v>15246</v>
      </c>
      <c r="N32" s="20"/>
      <c r="O32" s="20">
        <v>18921</v>
      </c>
      <c r="P32" s="20"/>
      <c r="Q32" s="20">
        <v>16289</v>
      </c>
      <c r="R32" s="20"/>
      <c r="S32" s="20">
        <v>16642</v>
      </c>
      <c r="T32" s="20"/>
      <c r="U32" s="20">
        <v>16219</v>
      </c>
      <c r="V32" s="20"/>
      <c r="W32" s="20">
        <v>17149</v>
      </c>
      <c r="X32" s="20"/>
      <c r="Y32" s="20">
        <v>18433</v>
      </c>
      <c r="Z32" s="20"/>
      <c r="AA32" s="20">
        <v>13476</v>
      </c>
      <c r="AB32" s="20"/>
      <c r="AC32" s="35"/>
      <c r="AD32" s="32">
        <f>+E32+G32+I32+K32+M32+O32+Q32+S32+U32+W32+Y32+AA32</f>
        <v>196257</v>
      </c>
      <c r="AE32" s="36">
        <f t="shared" si="0"/>
        <v>0</v>
      </c>
    </row>
    <row r="33" spans="1:31" s="1" customFormat="1">
      <c r="A33" s="46">
        <v>31</v>
      </c>
      <c r="B33" s="21" t="s">
        <v>50</v>
      </c>
      <c r="C33" s="18">
        <v>1969900269802</v>
      </c>
      <c r="D33" s="19"/>
      <c r="E33" s="20">
        <v>17944</v>
      </c>
      <c r="F33" s="20"/>
      <c r="G33" s="20">
        <v>18121</v>
      </c>
      <c r="H33" s="20"/>
      <c r="I33" s="20">
        <v>14539</v>
      </c>
      <c r="J33" s="20"/>
      <c r="K33" s="20">
        <v>17405</v>
      </c>
      <c r="L33" s="20"/>
      <c r="M33" s="20">
        <v>16526</v>
      </c>
      <c r="N33" s="20"/>
      <c r="O33" s="20">
        <v>17561</v>
      </c>
      <c r="P33" s="20"/>
      <c r="Q33" s="20">
        <v>15976</v>
      </c>
      <c r="R33" s="20"/>
      <c r="S33" s="20">
        <v>17954</v>
      </c>
      <c r="T33" s="20"/>
      <c r="U33" s="20">
        <v>17537</v>
      </c>
      <c r="V33" s="20"/>
      <c r="W33" s="20">
        <v>16762</v>
      </c>
      <c r="X33" s="20"/>
      <c r="Y33" s="20">
        <v>14742</v>
      </c>
      <c r="Z33" s="20"/>
      <c r="AA33" s="20">
        <v>17389</v>
      </c>
      <c r="AB33" s="20"/>
      <c r="AC33" s="35"/>
      <c r="AD33" s="32">
        <f t="shared" ref="AD33:AD94" si="1">+E33+G33+I33+K33+M33+O33+Q33+S33+U33+W33+Y33+AA33</f>
        <v>202456</v>
      </c>
      <c r="AE33" s="36">
        <f t="shared" ref="AE33:AE48" si="2">+F33+H33+J33+L33+N33+P33+R33+T33+V33+X33+Z33+AB33</f>
        <v>0</v>
      </c>
    </row>
    <row r="34" spans="1:31" s="1" customFormat="1">
      <c r="A34" s="46">
        <v>32</v>
      </c>
      <c r="B34" s="17" t="s">
        <v>51</v>
      </c>
      <c r="C34" s="18">
        <v>1960500288127</v>
      </c>
      <c r="D34" s="19"/>
      <c r="E34" s="20">
        <v>15824</v>
      </c>
      <c r="F34" s="20"/>
      <c r="G34" s="20">
        <v>16801</v>
      </c>
      <c r="H34" s="20"/>
      <c r="I34" s="20">
        <v>13869</v>
      </c>
      <c r="J34" s="20"/>
      <c r="K34" s="20">
        <v>16500</v>
      </c>
      <c r="L34" s="20"/>
      <c r="M34" s="20">
        <v>15246</v>
      </c>
      <c r="N34" s="20"/>
      <c r="O34" s="20">
        <v>11148</v>
      </c>
      <c r="P34" s="20"/>
      <c r="Q34" s="20">
        <v>15759</v>
      </c>
      <c r="R34" s="20"/>
      <c r="S34" s="20">
        <v>16642</v>
      </c>
      <c r="T34" s="20"/>
      <c r="U34" s="20">
        <v>16219</v>
      </c>
      <c r="V34" s="20"/>
      <c r="W34" s="20">
        <v>15521</v>
      </c>
      <c r="X34" s="20"/>
      <c r="Y34" s="20"/>
      <c r="Z34" s="20"/>
      <c r="AA34" s="20"/>
      <c r="AB34" s="20"/>
      <c r="AC34" s="35"/>
      <c r="AD34" s="32">
        <f t="shared" si="1"/>
        <v>153529</v>
      </c>
      <c r="AE34" s="36">
        <f t="shared" si="2"/>
        <v>0</v>
      </c>
    </row>
    <row r="35" spans="1:31" s="1" customFormat="1">
      <c r="A35" s="46">
        <v>33</v>
      </c>
      <c r="B35" s="22" t="s">
        <v>52</v>
      </c>
      <c r="C35" s="18">
        <v>3100200057476</v>
      </c>
      <c r="D35" s="19"/>
      <c r="E35" s="20">
        <v>17136</v>
      </c>
      <c r="F35" s="20"/>
      <c r="G35" s="20">
        <v>16076</v>
      </c>
      <c r="H35" s="20"/>
      <c r="I35" s="20">
        <v>14840</v>
      </c>
      <c r="J35" s="20"/>
      <c r="K35" s="20">
        <v>15899</v>
      </c>
      <c r="L35" s="20"/>
      <c r="M35" s="20">
        <v>16253</v>
      </c>
      <c r="N35" s="20"/>
      <c r="O35" s="20">
        <v>16606</v>
      </c>
      <c r="P35" s="20"/>
      <c r="Q35" s="20">
        <v>16253</v>
      </c>
      <c r="R35" s="20"/>
      <c r="S35" s="20">
        <v>17136</v>
      </c>
      <c r="T35" s="20"/>
      <c r="U35" s="20">
        <v>17298</v>
      </c>
      <c r="V35" s="20"/>
      <c r="W35" s="20">
        <v>16926</v>
      </c>
      <c r="X35" s="20"/>
      <c r="Y35" s="20">
        <v>17298</v>
      </c>
      <c r="Z35" s="20"/>
      <c r="AA35" s="20">
        <v>17112</v>
      </c>
      <c r="AB35" s="20"/>
      <c r="AC35" s="35"/>
      <c r="AD35" s="32">
        <f t="shared" si="1"/>
        <v>198833</v>
      </c>
      <c r="AE35" s="36">
        <f t="shared" si="2"/>
        <v>0</v>
      </c>
    </row>
    <row r="36" spans="1:31" s="1" customFormat="1">
      <c r="A36" s="46">
        <v>34</v>
      </c>
      <c r="B36" s="22" t="s">
        <v>53</v>
      </c>
      <c r="C36" s="18">
        <v>1660600017331</v>
      </c>
      <c r="D36" s="19"/>
      <c r="E36" s="20">
        <v>2562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35"/>
      <c r="AD36" s="32">
        <f t="shared" si="1"/>
        <v>2562</v>
      </c>
      <c r="AE36" s="36">
        <f t="shared" si="2"/>
        <v>0</v>
      </c>
    </row>
    <row r="37" spans="1:31" s="1" customFormat="1">
      <c r="A37" s="46">
        <v>35</v>
      </c>
      <c r="B37" s="17" t="s">
        <v>54</v>
      </c>
      <c r="C37" s="18">
        <v>1960100139311</v>
      </c>
      <c r="D37" s="19"/>
      <c r="E37" s="20">
        <v>17924</v>
      </c>
      <c r="F37" s="20"/>
      <c r="G37" s="20">
        <v>15752</v>
      </c>
      <c r="H37" s="20"/>
      <c r="I37" s="20">
        <v>11552</v>
      </c>
      <c r="J37" s="20"/>
      <c r="K37" s="20">
        <v>18157</v>
      </c>
      <c r="L37" s="20"/>
      <c r="M37" s="20">
        <v>16976</v>
      </c>
      <c r="N37" s="20"/>
      <c r="O37" s="20">
        <v>18141</v>
      </c>
      <c r="P37" s="20"/>
      <c r="Q37" s="20">
        <v>17016</v>
      </c>
      <c r="R37" s="20"/>
      <c r="S37" s="20">
        <v>17872</v>
      </c>
      <c r="T37" s="20"/>
      <c r="U37" s="20">
        <v>19073</v>
      </c>
      <c r="V37" s="20"/>
      <c r="W37" s="20">
        <v>18887</v>
      </c>
      <c r="X37" s="20"/>
      <c r="Y37" s="20">
        <v>11565</v>
      </c>
      <c r="Z37" s="20"/>
      <c r="AA37" s="20">
        <v>18419</v>
      </c>
      <c r="AB37" s="20"/>
      <c r="AC37" s="35"/>
      <c r="AD37" s="32">
        <f t="shared" si="1"/>
        <v>201334</v>
      </c>
      <c r="AE37" s="36">
        <f t="shared" si="2"/>
        <v>0</v>
      </c>
    </row>
    <row r="38" spans="1:31" s="1" customFormat="1">
      <c r="A38" s="46">
        <v>36</v>
      </c>
      <c r="B38" s="17" t="s">
        <v>55</v>
      </c>
      <c r="C38" s="18">
        <v>1239900128504</v>
      </c>
      <c r="D38" s="19"/>
      <c r="E38" s="20">
        <v>2014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>
        <v>17430</v>
      </c>
      <c r="X38" s="20"/>
      <c r="Y38" s="20"/>
      <c r="Z38" s="20"/>
      <c r="AA38" s="20"/>
      <c r="AB38" s="20"/>
      <c r="AC38" s="35"/>
      <c r="AD38" s="32">
        <f t="shared" si="1"/>
        <v>19444</v>
      </c>
      <c r="AE38" s="36">
        <f t="shared" si="2"/>
        <v>0</v>
      </c>
    </row>
    <row r="39" spans="1:31" s="1" customFormat="1">
      <c r="A39" s="46">
        <v>37</v>
      </c>
      <c r="B39" s="22" t="s">
        <v>56</v>
      </c>
      <c r="C39" s="18">
        <v>1239900184994</v>
      </c>
      <c r="D39" s="19"/>
      <c r="E39" s="20">
        <v>18012</v>
      </c>
      <c r="F39" s="20"/>
      <c r="G39" s="20">
        <v>19803</v>
      </c>
      <c r="H39" s="20"/>
      <c r="I39" s="20">
        <v>20504</v>
      </c>
      <c r="J39" s="20"/>
      <c r="K39" s="20">
        <v>18365</v>
      </c>
      <c r="L39" s="20"/>
      <c r="M39" s="20">
        <v>19324</v>
      </c>
      <c r="N39" s="20"/>
      <c r="O39" s="20">
        <v>18574</v>
      </c>
      <c r="P39" s="20"/>
      <c r="Q39" s="20">
        <v>16112</v>
      </c>
      <c r="R39" s="20"/>
      <c r="S39" s="20">
        <v>19187</v>
      </c>
      <c r="T39" s="20"/>
      <c r="U39" s="20">
        <v>19396</v>
      </c>
      <c r="V39" s="20"/>
      <c r="W39" s="20"/>
      <c r="X39" s="20"/>
      <c r="Y39" s="20">
        <v>18232</v>
      </c>
      <c r="Z39" s="20"/>
      <c r="AA39" s="20"/>
      <c r="AB39" s="20"/>
      <c r="AC39" s="35"/>
      <c r="AD39" s="32">
        <f t="shared" si="1"/>
        <v>187509</v>
      </c>
      <c r="AE39" s="36">
        <f t="shared" si="2"/>
        <v>0</v>
      </c>
    </row>
    <row r="40" spans="1:31" s="1" customFormat="1">
      <c r="A40" s="46">
        <v>38</v>
      </c>
      <c r="B40" s="22" t="s">
        <v>57</v>
      </c>
      <c r="C40" s="18">
        <v>5411000002974</v>
      </c>
      <c r="D40" s="19"/>
      <c r="E40" s="20">
        <v>16457</v>
      </c>
      <c r="F40" s="20"/>
      <c r="G40" s="20">
        <v>18899</v>
      </c>
      <c r="H40" s="20"/>
      <c r="I40" s="20">
        <v>17803</v>
      </c>
      <c r="J40" s="20"/>
      <c r="K40" s="20">
        <v>19707</v>
      </c>
      <c r="L40" s="20"/>
      <c r="M40" s="20">
        <v>17839</v>
      </c>
      <c r="N40" s="20"/>
      <c r="O40" s="20">
        <v>19291</v>
      </c>
      <c r="P40" s="20"/>
      <c r="Q40" s="20">
        <v>18299</v>
      </c>
      <c r="R40" s="20"/>
      <c r="S40" s="20">
        <v>17012</v>
      </c>
      <c r="T40" s="20"/>
      <c r="U40" s="20">
        <v>18913</v>
      </c>
      <c r="V40" s="20"/>
      <c r="W40" s="20">
        <v>18777</v>
      </c>
      <c r="X40" s="20"/>
      <c r="Y40" s="20">
        <v>20810</v>
      </c>
      <c r="Z40" s="20"/>
      <c r="AA40" s="20">
        <v>18783</v>
      </c>
      <c r="AB40" s="20"/>
      <c r="AC40" s="35"/>
      <c r="AD40" s="32">
        <f t="shared" si="1"/>
        <v>222590</v>
      </c>
      <c r="AE40" s="36">
        <f t="shared" si="2"/>
        <v>0</v>
      </c>
    </row>
    <row r="41" spans="1:31" s="1" customFormat="1">
      <c r="A41" s="46">
        <v>39</v>
      </c>
      <c r="B41" s="22" t="s">
        <v>58</v>
      </c>
      <c r="C41" s="18">
        <v>1901000097846</v>
      </c>
      <c r="D41" s="19"/>
      <c r="E41" s="20">
        <v>10489</v>
      </c>
      <c r="F41" s="20"/>
      <c r="G41" s="20"/>
      <c r="H41" s="20"/>
      <c r="I41" s="20">
        <v>15073</v>
      </c>
      <c r="J41" s="20"/>
      <c r="K41" s="20">
        <v>16163</v>
      </c>
      <c r="L41" s="20"/>
      <c r="M41" s="20">
        <v>14454</v>
      </c>
      <c r="N41" s="20"/>
      <c r="O41" s="20">
        <v>15026</v>
      </c>
      <c r="P41" s="20"/>
      <c r="Q41" s="20">
        <v>15539</v>
      </c>
      <c r="R41" s="20"/>
      <c r="S41" s="20">
        <v>16452</v>
      </c>
      <c r="T41" s="20"/>
      <c r="U41" s="20">
        <v>17068</v>
      </c>
      <c r="V41" s="20"/>
      <c r="W41" s="20">
        <v>16315</v>
      </c>
      <c r="X41" s="20"/>
      <c r="Y41" s="20">
        <v>18786</v>
      </c>
      <c r="Z41" s="20"/>
      <c r="AA41" s="20">
        <v>18021</v>
      </c>
      <c r="AB41" s="20"/>
      <c r="AC41" s="35"/>
      <c r="AD41" s="32">
        <f t="shared" si="1"/>
        <v>173386</v>
      </c>
      <c r="AE41" s="36">
        <f t="shared" si="2"/>
        <v>0</v>
      </c>
    </row>
    <row r="42" spans="1:31" s="1" customFormat="1">
      <c r="A42" s="46">
        <v>40</v>
      </c>
      <c r="B42" s="17" t="s">
        <v>59</v>
      </c>
      <c r="C42" s="18">
        <v>1961200114183</v>
      </c>
      <c r="D42" s="19"/>
      <c r="E42" s="20">
        <v>14782</v>
      </c>
      <c r="F42" s="20"/>
      <c r="G42" s="20">
        <v>9770</v>
      </c>
      <c r="H42" s="20"/>
      <c r="I42" s="20">
        <v>12862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35"/>
      <c r="AD42" s="32">
        <f t="shared" si="1"/>
        <v>37414</v>
      </c>
      <c r="AE42" s="36">
        <f t="shared" si="2"/>
        <v>0</v>
      </c>
    </row>
    <row r="43" spans="1:31" s="1" customFormat="1">
      <c r="A43" s="46">
        <v>41</v>
      </c>
      <c r="B43" s="17" t="s">
        <v>60</v>
      </c>
      <c r="C43" s="18">
        <v>3361200577215</v>
      </c>
      <c r="D43" s="19"/>
      <c r="E43" s="20">
        <v>16589</v>
      </c>
      <c r="F43" s="20"/>
      <c r="G43" s="20">
        <v>16236</v>
      </c>
      <c r="H43" s="20"/>
      <c r="I43" s="20">
        <v>13833</v>
      </c>
      <c r="J43" s="20"/>
      <c r="K43" s="20">
        <v>16942</v>
      </c>
      <c r="L43" s="20"/>
      <c r="M43" s="20">
        <v>14186</v>
      </c>
      <c r="N43" s="20"/>
      <c r="O43" s="20">
        <v>16236</v>
      </c>
      <c r="P43" s="20"/>
      <c r="Q43" s="20">
        <v>15723</v>
      </c>
      <c r="R43" s="20"/>
      <c r="S43" s="20">
        <v>16589</v>
      </c>
      <c r="T43" s="20"/>
      <c r="U43" s="20">
        <v>15883</v>
      </c>
      <c r="V43" s="20"/>
      <c r="W43" s="20">
        <v>15723</v>
      </c>
      <c r="X43" s="20"/>
      <c r="Y43" s="20">
        <v>15883</v>
      </c>
      <c r="Z43" s="20"/>
      <c r="AA43" s="20">
        <v>15723</v>
      </c>
      <c r="AB43" s="20"/>
      <c r="AC43" s="35"/>
      <c r="AD43" s="32">
        <f t="shared" si="1"/>
        <v>189546</v>
      </c>
      <c r="AE43" s="36">
        <f t="shared" si="2"/>
        <v>0</v>
      </c>
    </row>
    <row r="44" spans="1:31" s="1" customFormat="1">
      <c r="A44" s="46">
        <v>42</v>
      </c>
      <c r="B44" s="17" t="s">
        <v>61</v>
      </c>
      <c r="C44" s="18">
        <v>3600900434141</v>
      </c>
      <c r="D44" s="19"/>
      <c r="E44" s="20">
        <v>16589</v>
      </c>
      <c r="F44" s="20"/>
      <c r="G44" s="20">
        <v>14699</v>
      </c>
      <c r="H44" s="20"/>
      <c r="I44" s="20">
        <v>14876</v>
      </c>
      <c r="J44" s="20"/>
      <c r="K44" s="20">
        <v>16942</v>
      </c>
      <c r="L44" s="20"/>
      <c r="M44" s="20">
        <v>16253</v>
      </c>
      <c r="N44" s="20"/>
      <c r="O44" s="20">
        <v>12649</v>
      </c>
      <c r="P44" s="20"/>
      <c r="Q44" s="20">
        <v>15723</v>
      </c>
      <c r="R44" s="20"/>
      <c r="S44" s="20">
        <v>16589</v>
      </c>
      <c r="T44" s="20"/>
      <c r="U44" s="20">
        <v>15883</v>
      </c>
      <c r="V44" s="20"/>
      <c r="W44" s="20">
        <v>15723</v>
      </c>
      <c r="X44" s="20"/>
      <c r="Y44" s="20">
        <v>14858</v>
      </c>
      <c r="Z44" s="20"/>
      <c r="AA44" s="20">
        <v>15723</v>
      </c>
      <c r="AB44" s="20"/>
      <c r="AC44" s="35"/>
      <c r="AD44" s="32">
        <f t="shared" si="1"/>
        <v>186507</v>
      </c>
      <c r="AE44" s="36">
        <f t="shared" si="2"/>
        <v>0</v>
      </c>
    </row>
    <row r="45" spans="1:31" s="1" customFormat="1">
      <c r="A45" s="46">
        <v>43</v>
      </c>
      <c r="B45" s="23" t="s">
        <v>62</v>
      </c>
      <c r="C45" s="18">
        <v>3251100133006</v>
      </c>
      <c r="D45" s="19"/>
      <c r="E45" s="20">
        <v>16076</v>
      </c>
      <c r="F45" s="20"/>
      <c r="G45" s="20">
        <v>15723</v>
      </c>
      <c r="H45" s="20"/>
      <c r="I45" s="20">
        <v>13780</v>
      </c>
      <c r="J45" s="20"/>
      <c r="K45" s="20">
        <v>15899</v>
      </c>
      <c r="L45" s="20"/>
      <c r="M45" s="20">
        <v>15193</v>
      </c>
      <c r="N45" s="20"/>
      <c r="O45" s="20">
        <v>15723</v>
      </c>
      <c r="P45" s="20"/>
      <c r="Q45" s="20">
        <v>16253</v>
      </c>
      <c r="R45" s="20"/>
      <c r="S45" s="20">
        <v>16606</v>
      </c>
      <c r="T45" s="20"/>
      <c r="U45" s="20">
        <v>16430</v>
      </c>
      <c r="V45" s="20"/>
      <c r="W45" s="20">
        <v>15193</v>
      </c>
      <c r="X45" s="20"/>
      <c r="Y45" s="20">
        <v>12190</v>
      </c>
      <c r="Z45" s="20"/>
      <c r="AA45" s="20">
        <v>15723</v>
      </c>
      <c r="AB45" s="20"/>
      <c r="AC45" s="35"/>
      <c r="AD45" s="32">
        <f t="shared" si="1"/>
        <v>184789</v>
      </c>
      <c r="AE45" s="36">
        <f t="shared" si="2"/>
        <v>0</v>
      </c>
    </row>
    <row r="46" spans="1:31" s="1" customFormat="1">
      <c r="A46" s="46">
        <v>44</v>
      </c>
      <c r="B46" s="17" t="s">
        <v>63</v>
      </c>
      <c r="C46" s="18">
        <v>1104200021100</v>
      </c>
      <c r="D46" s="19"/>
      <c r="E46" s="20">
        <v>16606</v>
      </c>
      <c r="F46" s="20"/>
      <c r="G46" s="20">
        <v>16253</v>
      </c>
      <c r="H46" s="20"/>
      <c r="I46" s="20">
        <v>14363</v>
      </c>
      <c r="J46" s="20"/>
      <c r="K46" s="20">
        <v>16959</v>
      </c>
      <c r="L46" s="20"/>
      <c r="M46" s="20">
        <v>15741</v>
      </c>
      <c r="N46" s="20"/>
      <c r="O46" s="20">
        <v>16253</v>
      </c>
      <c r="P46" s="20"/>
      <c r="Q46" s="20">
        <v>15741</v>
      </c>
      <c r="R46" s="20"/>
      <c r="S46" s="20">
        <v>16606</v>
      </c>
      <c r="T46" s="20"/>
      <c r="U46" s="20">
        <v>15900</v>
      </c>
      <c r="V46" s="20"/>
      <c r="W46" s="20">
        <v>15723</v>
      </c>
      <c r="X46" s="20"/>
      <c r="Y46" s="20">
        <v>15900</v>
      </c>
      <c r="Z46" s="20"/>
      <c r="AA46" s="20">
        <v>15741</v>
      </c>
      <c r="AB46" s="20"/>
      <c r="AC46" s="35"/>
      <c r="AD46" s="32">
        <f t="shared" si="1"/>
        <v>191786</v>
      </c>
      <c r="AE46" s="36">
        <f t="shared" si="2"/>
        <v>0</v>
      </c>
    </row>
    <row r="47" spans="1:31" s="1" customFormat="1">
      <c r="A47" s="46">
        <v>45</v>
      </c>
      <c r="B47" s="22" t="s">
        <v>64</v>
      </c>
      <c r="C47" s="18">
        <v>1103701851805</v>
      </c>
      <c r="D47" s="19"/>
      <c r="E47" s="20">
        <v>16606</v>
      </c>
      <c r="F47" s="20"/>
      <c r="G47" s="20">
        <v>16253</v>
      </c>
      <c r="H47" s="20"/>
      <c r="I47" s="20">
        <v>14363</v>
      </c>
      <c r="J47" s="20"/>
      <c r="K47" s="20">
        <v>16959</v>
      </c>
      <c r="L47" s="20"/>
      <c r="M47" s="20">
        <v>15229</v>
      </c>
      <c r="N47" s="20"/>
      <c r="O47" s="20">
        <v>16253</v>
      </c>
      <c r="P47" s="20"/>
      <c r="Q47" s="20">
        <v>15741</v>
      </c>
      <c r="R47" s="20"/>
      <c r="S47" s="20">
        <v>16606</v>
      </c>
      <c r="T47" s="20"/>
      <c r="U47" s="20">
        <v>15900</v>
      </c>
      <c r="V47" s="20"/>
      <c r="W47" s="20">
        <v>15723</v>
      </c>
      <c r="X47" s="20"/>
      <c r="Y47" s="20">
        <v>15900</v>
      </c>
      <c r="Z47" s="20"/>
      <c r="AA47" s="20">
        <v>15741</v>
      </c>
      <c r="AB47" s="20"/>
      <c r="AC47" s="35"/>
      <c r="AD47" s="32">
        <f t="shared" si="1"/>
        <v>191274</v>
      </c>
      <c r="AE47" s="36">
        <f t="shared" si="2"/>
        <v>0</v>
      </c>
    </row>
    <row r="48" spans="1:31" s="1" customFormat="1">
      <c r="A48" s="46">
        <v>46</v>
      </c>
      <c r="B48" s="22" t="s">
        <v>65</v>
      </c>
      <c r="C48" s="18">
        <v>1311000199423</v>
      </c>
      <c r="D48" s="19"/>
      <c r="E48" s="20">
        <v>14609</v>
      </c>
      <c r="F48" s="20"/>
      <c r="G48" s="20">
        <v>12891</v>
      </c>
      <c r="H48" s="20"/>
      <c r="I48" s="20">
        <v>5158</v>
      </c>
      <c r="J48" s="20"/>
      <c r="K48" s="20">
        <v>12907</v>
      </c>
      <c r="L48" s="20"/>
      <c r="M48" s="20">
        <v>8570</v>
      </c>
      <c r="N48" s="20"/>
      <c r="O48" s="20">
        <v>9709</v>
      </c>
      <c r="P48" s="20"/>
      <c r="Q48" s="20">
        <v>3348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35"/>
      <c r="AD48" s="32">
        <f t="shared" si="1"/>
        <v>67192</v>
      </c>
      <c r="AE48" s="36">
        <f t="shared" si="2"/>
        <v>0</v>
      </c>
    </row>
    <row r="49" spans="1:31" s="1" customFormat="1">
      <c r="A49" s="46">
        <v>47</v>
      </c>
      <c r="B49" s="22" t="s">
        <v>66</v>
      </c>
      <c r="C49" s="18">
        <v>1100201434404</v>
      </c>
      <c r="D49" s="19"/>
      <c r="E49" s="20">
        <v>14569</v>
      </c>
      <c r="F49" s="20"/>
      <c r="G49" s="20">
        <v>12162</v>
      </c>
      <c r="H49" s="20"/>
      <c r="I49" s="20">
        <v>1361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35"/>
      <c r="AD49" s="32">
        <f t="shared" si="1"/>
        <v>28092</v>
      </c>
      <c r="AE49" s="37"/>
    </row>
    <row r="50" spans="1:31" s="1" customFormat="1">
      <c r="A50" s="46">
        <v>48</v>
      </c>
      <c r="B50" s="22" t="s">
        <v>67</v>
      </c>
      <c r="C50" s="18">
        <v>1309900269735</v>
      </c>
      <c r="D50" s="19"/>
      <c r="E50" s="20">
        <v>12044</v>
      </c>
      <c r="F50" s="20"/>
      <c r="G50" s="20">
        <v>5506</v>
      </c>
      <c r="H50" s="20"/>
      <c r="I50" s="20">
        <v>13659</v>
      </c>
      <c r="J50" s="20"/>
      <c r="K50" s="20">
        <v>7114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35"/>
      <c r="AD50" s="32">
        <f t="shared" si="1"/>
        <v>38323</v>
      </c>
      <c r="AE50" s="37"/>
    </row>
    <row r="51" spans="1:31" s="1" customFormat="1">
      <c r="A51" s="46">
        <v>49</v>
      </c>
      <c r="B51" s="22" t="s">
        <v>68</v>
      </c>
      <c r="C51" s="18">
        <v>1648900066580</v>
      </c>
      <c r="D51" s="19"/>
      <c r="E51" s="20">
        <v>15621</v>
      </c>
      <c r="F51" s="20"/>
      <c r="G51" s="20">
        <v>16341</v>
      </c>
      <c r="H51" s="20"/>
      <c r="I51" s="20">
        <v>7190</v>
      </c>
      <c r="J51" s="20"/>
      <c r="K51" s="20">
        <v>16032</v>
      </c>
      <c r="L51" s="20"/>
      <c r="M51" s="20">
        <v>12318</v>
      </c>
      <c r="N51" s="20"/>
      <c r="O51" s="20">
        <v>17131</v>
      </c>
      <c r="P51" s="20"/>
      <c r="Q51" s="20">
        <v>11699</v>
      </c>
      <c r="R51" s="20"/>
      <c r="S51" s="20">
        <v>13729</v>
      </c>
      <c r="T51" s="20"/>
      <c r="U51" s="20">
        <v>13543</v>
      </c>
      <c r="V51" s="20"/>
      <c r="W51" s="20">
        <v>16033</v>
      </c>
      <c r="X51" s="20"/>
      <c r="Y51" s="20">
        <v>15182</v>
      </c>
      <c r="Z51" s="20"/>
      <c r="AA51" s="20">
        <v>14936</v>
      </c>
      <c r="AB51" s="20"/>
      <c r="AC51" s="35"/>
      <c r="AD51" s="32">
        <f t="shared" si="1"/>
        <v>169755</v>
      </c>
      <c r="AE51" s="37"/>
    </row>
    <row r="52" spans="1:31" s="1" customFormat="1">
      <c r="A52" s="46">
        <v>50</v>
      </c>
      <c r="B52" s="22" t="s">
        <v>69</v>
      </c>
      <c r="C52" s="18">
        <v>1471000178123</v>
      </c>
      <c r="D52" s="19"/>
      <c r="E52" s="20">
        <v>2037</v>
      </c>
      <c r="F52" s="20"/>
      <c r="G52" s="20">
        <v>15241</v>
      </c>
      <c r="H52" s="20"/>
      <c r="I52" s="20">
        <v>10759</v>
      </c>
      <c r="J52" s="20"/>
      <c r="K52" s="20">
        <v>11222</v>
      </c>
      <c r="L52" s="20"/>
      <c r="M52" s="20">
        <v>7702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35"/>
      <c r="AD52" s="32">
        <f t="shared" si="1"/>
        <v>46961</v>
      </c>
      <c r="AE52" s="37"/>
    </row>
    <row r="53" spans="1:31" s="1" customFormat="1">
      <c r="A53" s="46">
        <v>51</v>
      </c>
      <c r="B53" s="22" t="s">
        <v>70</v>
      </c>
      <c r="C53" s="18">
        <v>3480300137096</v>
      </c>
      <c r="D53" s="19"/>
      <c r="E53" s="20">
        <v>11247</v>
      </c>
      <c r="F53" s="20"/>
      <c r="G53" s="20">
        <v>13621</v>
      </c>
      <c r="H53" s="20"/>
      <c r="I53" s="20">
        <v>13496</v>
      </c>
      <c r="J53" s="20"/>
      <c r="K53" s="20">
        <v>12934</v>
      </c>
      <c r="L53" s="20"/>
      <c r="M53" s="20">
        <v>13496</v>
      </c>
      <c r="N53" s="20"/>
      <c r="O53" s="20">
        <v>14059</v>
      </c>
      <c r="P53" s="20"/>
      <c r="Q53" s="20">
        <v>14621</v>
      </c>
      <c r="R53" s="20"/>
      <c r="S53" s="20">
        <v>12934</v>
      </c>
      <c r="T53" s="20"/>
      <c r="U53" s="20">
        <v>15536</v>
      </c>
      <c r="V53" s="20"/>
      <c r="W53" s="20">
        <v>14621</v>
      </c>
      <c r="X53" s="20"/>
      <c r="Y53" s="20">
        <v>14621</v>
      </c>
      <c r="Z53" s="20"/>
      <c r="AA53" s="20">
        <v>13496</v>
      </c>
      <c r="AB53" s="20"/>
      <c r="AC53" s="35"/>
      <c r="AD53" s="32">
        <f t="shared" si="1"/>
        <v>164682</v>
      </c>
      <c r="AE53" s="37"/>
    </row>
    <row r="54" spans="1:31" s="1" customFormat="1">
      <c r="A54" s="46">
        <v>52</v>
      </c>
      <c r="B54" s="22" t="s">
        <v>71</v>
      </c>
      <c r="C54" s="18">
        <v>1330700152046</v>
      </c>
      <c r="D54" s="19"/>
      <c r="E54" s="20">
        <v>16589</v>
      </c>
      <c r="F54" s="20"/>
      <c r="G54" s="20">
        <v>14346</v>
      </c>
      <c r="H54" s="20"/>
      <c r="I54" s="20">
        <v>12809</v>
      </c>
      <c r="J54" s="20"/>
      <c r="K54" s="20">
        <v>16942</v>
      </c>
      <c r="L54" s="20"/>
      <c r="M54" s="20">
        <v>15723</v>
      </c>
      <c r="N54" s="20"/>
      <c r="O54" s="20">
        <v>16236</v>
      </c>
      <c r="P54" s="20"/>
      <c r="Q54" s="20">
        <v>15723</v>
      </c>
      <c r="R54" s="20"/>
      <c r="S54" s="20">
        <v>16589</v>
      </c>
      <c r="T54" s="20"/>
      <c r="U54" s="20">
        <v>12358</v>
      </c>
      <c r="V54" s="20"/>
      <c r="W54" s="20">
        <v>15211</v>
      </c>
      <c r="X54" s="20"/>
      <c r="Y54" s="20">
        <v>1674</v>
      </c>
      <c r="Z54" s="20"/>
      <c r="AA54" s="20"/>
      <c r="AB54" s="20"/>
      <c r="AC54" s="35"/>
      <c r="AD54" s="32">
        <f t="shared" si="1"/>
        <v>154200</v>
      </c>
      <c r="AE54" s="37"/>
    </row>
    <row r="55" spans="1:31" s="1" customFormat="1">
      <c r="A55" s="46">
        <v>53</v>
      </c>
      <c r="B55" s="17" t="s">
        <v>72</v>
      </c>
      <c r="C55" s="18">
        <v>3101700332086</v>
      </c>
      <c r="D55" s="19"/>
      <c r="E55" s="20">
        <v>17560</v>
      </c>
      <c r="F55" s="20"/>
      <c r="G55" s="20">
        <v>15783</v>
      </c>
      <c r="H55" s="20"/>
      <c r="I55" s="20">
        <v>11660</v>
      </c>
      <c r="J55" s="20"/>
      <c r="K55" s="20">
        <v>16429</v>
      </c>
      <c r="L55" s="20"/>
      <c r="M55" s="20">
        <v>15193</v>
      </c>
      <c r="N55" s="20"/>
      <c r="O55" s="20">
        <v>16253</v>
      </c>
      <c r="P55" s="20"/>
      <c r="Q55" s="20">
        <v>16253</v>
      </c>
      <c r="R55" s="20"/>
      <c r="S55" s="20">
        <v>17136</v>
      </c>
      <c r="T55" s="20"/>
      <c r="U55" s="20">
        <v>16430</v>
      </c>
      <c r="V55" s="20"/>
      <c r="W55" s="20"/>
      <c r="X55" s="20"/>
      <c r="Y55" s="20">
        <v>15900</v>
      </c>
      <c r="Z55" s="20"/>
      <c r="AA55" s="20">
        <v>16253</v>
      </c>
      <c r="AB55" s="20"/>
      <c r="AC55" s="35"/>
      <c r="AD55" s="32">
        <f t="shared" si="1"/>
        <v>174850</v>
      </c>
      <c r="AE55" s="37"/>
    </row>
    <row r="56" spans="1:31" s="1" customFormat="1">
      <c r="A56" s="46">
        <v>54</v>
      </c>
      <c r="B56" s="22" t="s">
        <v>73</v>
      </c>
      <c r="C56" s="18">
        <v>1349700115645</v>
      </c>
      <c r="D56" s="19"/>
      <c r="E56" s="20">
        <v>14223</v>
      </c>
      <c r="F56" s="20"/>
      <c r="G56" s="20">
        <v>15436</v>
      </c>
      <c r="H56" s="20"/>
      <c r="I56" s="20">
        <v>4099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35"/>
      <c r="AD56" s="32">
        <f t="shared" si="1"/>
        <v>33758</v>
      </c>
      <c r="AE56" s="37"/>
    </row>
    <row r="57" spans="1:31" s="1" customFormat="1">
      <c r="A57" s="46">
        <v>55</v>
      </c>
      <c r="B57" s="22" t="s">
        <v>74</v>
      </c>
      <c r="C57" s="18">
        <v>3100903388361</v>
      </c>
      <c r="D57" s="19"/>
      <c r="E57" s="20">
        <v>16589</v>
      </c>
      <c r="F57" s="20"/>
      <c r="G57" s="20">
        <v>16236</v>
      </c>
      <c r="H57" s="20"/>
      <c r="I57" s="20">
        <v>14346</v>
      </c>
      <c r="J57" s="20"/>
      <c r="K57" s="20">
        <v>16942</v>
      </c>
      <c r="L57" s="20"/>
      <c r="M57" s="20">
        <v>15723</v>
      </c>
      <c r="N57" s="20"/>
      <c r="O57" s="20">
        <v>16236</v>
      </c>
      <c r="P57" s="20"/>
      <c r="Q57" s="20">
        <v>15723</v>
      </c>
      <c r="R57" s="20"/>
      <c r="S57" s="20">
        <v>16589</v>
      </c>
      <c r="T57" s="20"/>
      <c r="U57" s="20">
        <v>15883</v>
      </c>
      <c r="V57" s="20"/>
      <c r="W57" s="20">
        <v>15723</v>
      </c>
      <c r="X57" s="20"/>
      <c r="Y57" s="20">
        <v>15883</v>
      </c>
      <c r="Z57" s="20"/>
      <c r="AA57" s="20">
        <v>15723</v>
      </c>
      <c r="AB57" s="20"/>
      <c r="AC57" s="35"/>
      <c r="AD57" s="32">
        <f t="shared" si="1"/>
        <v>191596</v>
      </c>
      <c r="AE57" s="37"/>
    </row>
    <row r="58" spans="1:31" s="1" customFormat="1">
      <c r="A58" s="46">
        <v>56</v>
      </c>
      <c r="B58" s="22" t="s">
        <v>75</v>
      </c>
      <c r="C58" s="18">
        <v>3110300895228</v>
      </c>
      <c r="D58" s="19"/>
      <c r="E58" s="20">
        <v>11900</v>
      </c>
      <c r="F58" s="20"/>
      <c r="G58" s="20">
        <v>11900</v>
      </c>
      <c r="H58" s="20"/>
      <c r="I58" s="20">
        <v>11900</v>
      </c>
      <c r="J58" s="20"/>
      <c r="K58" s="20">
        <v>11900</v>
      </c>
      <c r="L58" s="20"/>
      <c r="M58" s="20">
        <v>11900</v>
      </c>
      <c r="N58" s="20"/>
      <c r="O58" s="20">
        <v>11900</v>
      </c>
      <c r="P58" s="20"/>
      <c r="Q58" s="20">
        <v>11900</v>
      </c>
      <c r="R58" s="20"/>
      <c r="S58" s="20">
        <v>11900</v>
      </c>
      <c r="T58" s="20"/>
      <c r="U58" s="20">
        <v>11900</v>
      </c>
      <c r="V58" s="20"/>
      <c r="W58" s="20">
        <v>11900</v>
      </c>
      <c r="X58" s="20"/>
      <c r="Y58" s="20">
        <v>11900</v>
      </c>
      <c r="Z58" s="20"/>
      <c r="AA58" s="20">
        <v>11900</v>
      </c>
      <c r="AB58" s="20"/>
      <c r="AC58" s="35"/>
      <c r="AD58" s="32">
        <f t="shared" si="1"/>
        <v>142800</v>
      </c>
      <c r="AE58" s="37"/>
    </row>
    <row r="59" spans="1:31" s="1" customFormat="1">
      <c r="A59" s="46">
        <v>57</v>
      </c>
      <c r="B59" s="22" t="s">
        <v>76</v>
      </c>
      <c r="C59" s="18">
        <v>3101100329921</v>
      </c>
      <c r="D59" s="19"/>
      <c r="E59" s="20">
        <v>11900</v>
      </c>
      <c r="F59" s="20"/>
      <c r="G59" s="20">
        <v>11900</v>
      </c>
      <c r="H59" s="20"/>
      <c r="I59" s="20">
        <v>11900</v>
      </c>
      <c r="J59" s="20"/>
      <c r="K59" s="20">
        <v>11900</v>
      </c>
      <c r="L59" s="20"/>
      <c r="M59" s="20">
        <v>11900</v>
      </c>
      <c r="N59" s="20"/>
      <c r="O59" s="20">
        <v>11900</v>
      </c>
      <c r="P59" s="20"/>
      <c r="Q59" s="20">
        <v>11900</v>
      </c>
      <c r="R59" s="20"/>
      <c r="S59" s="20">
        <v>11900</v>
      </c>
      <c r="T59" s="20"/>
      <c r="U59" s="20">
        <v>11900</v>
      </c>
      <c r="V59" s="20"/>
      <c r="W59" s="20">
        <v>11900</v>
      </c>
      <c r="X59" s="20"/>
      <c r="Y59" s="20">
        <v>11900</v>
      </c>
      <c r="Z59" s="20"/>
      <c r="AA59" s="20">
        <v>11900</v>
      </c>
      <c r="AB59" s="20"/>
      <c r="AC59" s="35"/>
      <c r="AD59" s="32">
        <f t="shared" si="1"/>
        <v>142800</v>
      </c>
      <c r="AE59" s="37"/>
    </row>
    <row r="60" spans="1:31" s="1" customFormat="1">
      <c r="A60" s="46">
        <v>58</v>
      </c>
      <c r="B60" s="22" t="s">
        <v>77</v>
      </c>
      <c r="C60" s="18">
        <v>1720300046831</v>
      </c>
      <c r="D60" s="19"/>
      <c r="E60" s="20">
        <v>12821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35"/>
      <c r="AD60" s="32">
        <f t="shared" si="1"/>
        <v>12821</v>
      </c>
      <c r="AE60" s="37"/>
    </row>
    <row r="61" spans="1:31" s="1" customFormat="1">
      <c r="A61" s="46">
        <v>59</v>
      </c>
      <c r="B61" s="22" t="s">
        <v>78</v>
      </c>
      <c r="C61" s="18">
        <v>3200601150948</v>
      </c>
      <c r="D61" s="19"/>
      <c r="E61" s="20">
        <v>14588</v>
      </c>
      <c r="F61" s="20"/>
      <c r="G61" s="20">
        <v>15299</v>
      </c>
      <c r="H61" s="20"/>
      <c r="I61" s="20">
        <v>17236</v>
      </c>
      <c r="J61" s="20"/>
      <c r="K61" s="20">
        <v>15086</v>
      </c>
      <c r="L61" s="20"/>
      <c r="M61" s="20">
        <v>17119</v>
      </c>
      <c r="N61" s="20"/>
      <c r="O61" s="20">
        <v>17119</v>
      </c>
      <c r="P61" s="20"/>
      <c r="Q61" s="20">
        <v>18061</v>
      </c>
      <c r="R61" s="20"/>
      <c r="S61" s="20">
        <v>17921</v>
      </c>
      <c r="T61" s="20"/>
      <c r="U61" s="20">
        <v>16795</v>
      </c>
      <c r="V61" s="20"/>
      <c r="W61" s="20">
        <v>17708</v>
      </c>
      <c r="X61" s="20"/>
      <c r="Y61" s="20"/>
      <c r="Z61" s="20"/>
      <c r="AA61" s="20"/>
      <c r="AB61" s="20"/>
      <c r="AC61" s="35"/>
      <c r="AD61" s="32">
        <f t="shared" si="1"/>
        <v>166932</v>
      </c>
      <c r="AE61" s="37"/>
    </row>
    <row r="62" spans="1:31" s="1" customFormat="1">
      <c r="A62" s="46">
        <v>60</v>
      </c>
      <c r="B62" s="22" t="s">
        <v>79</v>
      </c>
      <c r="C62" s="18">
        <v>3341500762557</v>
      </c>
      <c r="D62" s="19"/>
      <c r="E62" s="20">
        <v>12539</v>
      </c>
      <c r="F62" s="20"/>
      <c r="G62" s="20">
        <v>16879</v>
      </c>
      <c r="H62" s="20"/>
      <c r="I62" s="20">
        <v>17766</v>
      </c>
      <c r="J62" s="20"/>
      <c r="K62" s="20">
        <v>18355</v>
      </c>
      <c r="L62" s="20"/>
      <c r="M62" s="20">
        <v>18238</v>
      </c>
      <c r="N62" s="20"/>
      <c r="O62" s="20">
        <v>17148</v>
      </c>
      <c r="P62" s="20"/>
      <c r="Q62" s="20">
        <v>18061</v>
      </c>
      <c r="R62" s="20"/>
      <c r="S62" s="20">
        <v>17726</v>
      </c>
      <c r="T62" s="20"/>
      <c r="U62" s="20">
        <v>16795</v>
      </c>
      <c r="V62" s="20"/>
      <c r="W62" s="20">
        <v>16606</v>
      </c>
      <c r="X62" s="20"/>
      <c r="Y62" s="20"/>
      <c r="Z62" s="20"/>
      <c r="AA62" s="20"/>
      <c r="AB62" s="20"/>
      <c r="AC62" s="35"/>
      <c r="AD62" s="32">
        <f t="shared" si="1"/>
        <v>170113</v>
      </c>
      <c r="AE62" s="37"/>
    </row>
    <row r="63" spans="1:31" s="1" customFormat="1">
      <c r="A63" s="46">
        <v>61</v>
      </c>
      <c r="B63" s="22" t="s">
        <v>80</v>
      </c>
      <c r="C63" s="18">
        <v>3130100375727</v>
      </c>
      <c r="D63" s="19"/>
      <c r="E63" s="20">
        <v>15100</v>
      </c>
      <c r="F63" s="20"/>
      <c r="G63" s="20">
        <v>13504</v>
      </c>
      <c r="H63" s="20"/>
      <c r="I63" s="20">
        <v>14346</v>
      </c>
      <c r="J63" s="20"/>
      <c r="K63" s="20">
        <v>16112</v>
      </c>
      <c r="L63" s="20"/>
      <c r="M63" s="20">
        <v>16801</v>
      </c>
      <c r="N63" s="20"/>
      <c r="O63" s="20">
        <v>15723</v>
      </c>
      <c r="P63" s="20"/>
      <c r="Q63" s="20">
        <v>16606</v>
      </c>
      <c r="R63" s="20"/>
      <c r="S63" s="20">
        <v>14204</v>
      </c>
      <c r="T63" s="20"/>
      <c r="U63" s="20">
        <v>14363</v>
      </c>
      <c r="V63" s="20"/>
      <c r="W63" s="20">
        <v>13674</v>
      </c>
      <c r="X63" s="20"/>
      <c r="Y63" s="20"/>
      <c r="Z63" s="20"/>
      <c r="AA63" s="20"/>
      <c r="AB63" s="20"/>
      <c r="AC63" s="35"/>
      <c r="AD63" s="32">
        <f t="shared" si="1"/>
        <v>150433</v>
      </c>
      <c r="AE63" s="37"/>
    </row>
    <row r="64" spans="1:31" s="1" customFormat="1">
      <c r="A64" s="46">
        <v>62</v>
      </c>
      <c r="B64" s="17" t="s">
        <v>81</v>
      </c>
      <c r="C64" s="18">
        <v>3130100565941</v>
      </c>
      <c r="D64" s="19"/>
      <c r="E64" s="20">
        <v>6661</v>
      </c>
      <c r="F64" s="20"/>
      <c r="G64" s="20">
        <v>10482</v>
      </c>
      <c r="H64" s="20"/>
      <c r="I64" s="20">
        <v>14346</v>
      </c>
      <c r="J64" s="20"/>
      <c r="K64" s="20">
        <v>11306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35"/>
      <c r="AD64" s="32">
        <f t="shared" si="1"/>
        <v>42795</v>
      </c>
      <c r="AE64" s="37"/>
    </row>
    <row r="65" spans="1:31" s="1" customFormat="1">
      <c r="A65" s="46">
        <v>63</v>
      </c>
      <c r="B65" s="22" t="s">
        <v>82</v>
      </c>
      <c r="C65" s="18">
        <v>1719900630388</v>
      </c>
      <c r="D65" s="19"/>
      <c r="E65" s="20">
        <v>10759</v>
      </c>
      <c r="F65" s="20"/>
      <c r="G65" s="20">
        <v>13899</v>
      </c>
      <c r="H65" s="20"/>
      <c r="I65" s="20">
        <v>15883</v>
      </c>
      <c r="J65" s="20"/>
      <c r="K65" s="20">
        <v>14892</v>
      </c>
      <c r="L65" s="20"/>
      <c r="M65" s="20">
        <v>16236</v>
      </c>
      <c r="N65" s="20"/>
      <c r="O65" s="20">
        <v>15741</v>
      </c>
      <c r="P65" s="20"/>
      <c r="Q65" s="20">
        <v>16589</v>
      </c>
      <c r="R65" s="20"/>
      <c r="S65" s="20">
        <v>15936</v>
      </c>
      <c r="T65" s="20"/>
      <c r="U65" s="20">
        <v>11784</v>
      </c>
      <c r="V65" s="20"/>
      <c r="W65" s="20">
        <v>15211</v>
      </c>
      <c r="X65" s="20"/>
      <c r="Y65" s="20"/>
      <c r="Z65" s="20"/>
      <c r="AA65" s="20"/>
      <c r="AB65" s="20"/>
      <c r="AC65" s="35"/>
      <c r="AD65" s="32">
        <f t="shared" si="1"/>
        <v>146930</v>
      </c>
      <c r="AE65" s="37"/>
    </row>
    <row r="66" spans="1:31" s="1" customFormat="1">
      <c r="A66" s="46">
        <v>64</v>
      </c>
      <c r="B66" s="17" t="s">
        <v>83</v>
      </c>
      <c r="C66" s="18">
        <v>5450900078879</v>
      </c>
      <c r="D66" s="19"/>
      <c r="E66" s="20">
        <v>2086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35"/>
      <c r="AD66" s="32">
        <f t="shared" si="1"/>
        <v>2086</v>
      </c>
      <c r="AE66" s="37"/>
    </row>
    <row r="67" spans="1:31" s="1" customFormat="1">
      <c r="A67" s="46">
        <v>65</v>
      </c>
      <c r="B67" s="22" t="s">
        <v>84</v>
      </c>
      <c r="C67" s="18">
        <v>3130100380551</v>
      </c>
      <c r="D67" s="19"/>
      <c r="E67" s="20">
        <v>17048</v>
      </c>
      <c r="F67" s="20"/>
      <c r="G67" s="20">
        <v>14209</v>
      </c>
      <c r="H67" s="20"/>
      <c r="I67" s="20">
        <v>15166</v>
      </c>
      <c r="J67" s="20"/>
      <c r="K67" s="20">
        <v>14436</v>
      </c>
      <c r="L67" s="20"/>
      <c r="M67" s="20">
        <v>16589</v>
      </c>
      <c r="N67" s="20"/>
      <c r="O67" s="20">
        <v>15469</v>
      </c>
      <c r="P67" s="20"/>
      <c r="Q67" s="20">
        <v>16942</v>
      </c>
      <c r="R67" s="20"/>
      <c r="S67" s="20">
        <v>17184</v>
      </c>
      <c r="T67" s="20"/>
      <c r="U67" s="20">
        <v>15693</v>
      </c>
      <c r="V67" s="20"/>
      <c r="W67" s="20">
        <v>16559</v>
      </c>
      <c r="X67" s="20"/>
      <c r="Y67" s="20"/>
      <c r="Z67" s="20"/>
      <c r="AA67" s="20"/>
      <c r="AB67" s="20"/>
      <c r="AC67" s="35"/>
      <c r="AD67" s="32">
        <f t="shared" si="1"/>
        <v>159295</v>
      </c>
      <c r="AE67" s="37"/>
    </row>
    <row r="68" spans="1:31" s="1" customFormat="1">
      <c r="A68" s="46">
        <v>66</v>
      </c>
      <c r="B68" s="17" t="s">
        <v>85</v>
      </c>
      <c r="C68" s="18">
        <v>3260300042674</v>
      </c>
      <c r="D68" s="19"/>
      <c r="E68" s="20">
        <v>15983</v>
      </c>
      <c r="F68" s="20"/>
      <c r="G68" s="20">
        <v>13963</v>
      </c>
      <c r="H68" s="20"/>
      <c r="I68" s="20">
        <v>15370</v>
      </c>
      <c r="J68" s="20"/>
      <c r="K68" s="20">
        <v>16429</v>
      </c>
      <c r="L68" s="20"/>
      <c r="M68" s="20">
        <v>16253</v>
      </c>
      <c r="N68" s="20"/>
      <c r="O68" s="20">
        <v>15723</v>
      </c>
      <c r="P68" s="20"/>
      <c r="Q68" s="20">
        <v>14663</v>
      </c>
      <c r="R68" s="20"/>
      <c r="S68" s="20">
        <v>14840</v>
      </c>
      <c r="T68" s="20"/>
      <c r="U68" s="20">
        <v>14840</v>
      </c>
      <c r="V68" s="20"/>
      <c r="W68" s="20">
        <v>15193</v>
      </c>
      <c r="X68" s="20"/>
      <c r="Y68" s="20"/>
      <c r="Z68" s="20"/>
      <c r="AA68" s="20"/>
      <c r="AB68" s="20"/>
      <c r="AC68" s="35"/>
      <c r="AD68" s="32">
        <f t="shared" si="1"/>
        <v>153257</v>
      </c>
      <c r="AE68" s="37"/>
    </row>
    <row r="69" spans="1:31" s="1" customFormat="1">
      <c r="A69" s="46">
        <v>67</v>
      </c>
      <c r="B69" s="22" t="s">
        <v>86</v>
      </c>
      <c r="C69" s="18">
        <v>3130300513511</v>
      </c>
      <c r="D69" s="19"/>
      <c r="E69" s="20">
        <v>15789</v>
      </c>
      <c r="F69" s="20"/>
      <c r="G69" s="20">
        <v>14769</v>
      </c>
      <c r="H69" s="20"/>
      <c r="I69" s="20">
        <v>16795</v>
      </c>
      <c r="J69" s="20"/>
      <c r="K69" s="20">
        <v>15262</v>
      </c>
      <c r="L69" s="20"/>
      <c r="M69" s="20">
        <v>16589</v>
      </c>
      <c r="N69" s="20"/>
      <c r="O69" s="20">
        <v>16589</v>
      </c>
      <c r="P69" s="20"/>
      <c r="Q69" s="20">
        <v>18079</v>
      </c>
      <c r="R69" s="20"/>
      <c r="S69" s="20">
        <v>17166</v>
      </c>
      <c r="T69" s="20"/>
      <c r="U69" s="20">
        <v>15134</v>
      </c>
      <c r="V69" s="20"/>
      <c r="W69" s="20">
        <v>16956</v>
      </c>
      <c r="X69" s="20"/>
      <c r="Y69" s="20"/>
      <c r="Z69" s="20"/>
      <c r="AA69" s="20"/>
      <c r="AB69" s="20"/>
      <c r="AC69" s="35"/>
      <c r="AD69" s="32">
        <f t="shared" si="1"/>
        <v>163128</v>
      </c>
      <c r="AE69" s="37"/>
    </row>
    <row r="70" spans="1:31" s="1" customFormat="1">
      <c r="A70" s="46">
        <v>68</v>
      </c>
      <c r="B70" s="22" t="s">
        <v>87</v>
      </c>
      <c r="C70" s="18">
        <v>3139900058309</v>
      </c>
      <c r="D70" s="19"/>
      <c r="E70" s="20">
        <v>13086</v>
      </c>
      <c r="F70" s="20"/>
      <c r="G70" s="20">
        <v>11437</v>
      </c>
      <c r="H70" s="20"/>
      <c r="I70" s="20">
        <v>11377</v>
      </c>
      <c r="J70" s="20"/>
      <c r="K70" s="20">
        <v>10854</v>
      </c>
      <c r="L70" s="20"/>
      <c r="M70" s="20">
        <v>6026</v>
      </c>
      <c r="N70" s="20"/>
      <c r="O70" s="20">
        <v>7173</v>
      </c>
      <c r="P70" s="20"/>
      <c r="Q70" s="20">
        <v>15582</v>
      </c>
      <c r="R70" s="20"/>
      <c r="S70" s="20">
        <v>13674</v>
      </c>
      <c r="T70" s="20"/>
      <c r="U70" s="20">
        <v>11802</v>
      </c>
      <c r="V70" s="20"/>
      <c r="W70" s="20">
        <v>10137</v>
      </c>
      <c r="X70" s="20"/>
      <c r="Y70" s="20"/>
      <c r="Z70" s="20"/>
      <c r="AA70" s="20"/>
      <c r="AB70" s="20"/>
      <c r="AC70" s="35"/>
      <c r="AD70" s="32">
        <f t="shared" si="1"/>
        <v>111148</v>
      </c>
      <c r="AE70" s="37"/>
    </row>
    <row r="71" spans="1:31" s="1" customFormat="1">
      <c r="A71" s="46">
        <v>69</v>
      </c>
      <c r="B71" s="22" t="s">
        <v>88</v>
      </c>
      <c r="C71" s="18">
        <v>3300700148762</v>
      </c>
      <c r="D71" s="19"/>
      <c r="E71" s="20">
        <v>15034</v>
      </c>
      <c r="F71" s="20"/>
      <c r="G71" s="20">
        <v>13414</v>
      </c>
      <c r="H71" s="20"/>
      <c r="I71" s="20">
        <v>15207</v>
      </c>
      <c r="J71" s="20"/>
      <c r="K71" s="20">
        <v>16715</v>
      </c>
      <c r="L71" s="20"/>
      <c r="M71" s="20">
        <v>15486</v>
      </c>
      <c r="N71" s="20"/>
      <c r="O71" s="20">
        <v>14911</v>
      </c>
      <c r="P71" s="20"/>
      <c r="Q71" s="20">
        <v>16674</v>
      </c>
      <c r="R71" s="20"/>
      <c r="S71" s="20">
        <v>4611</v>
      </c>
      <c r="T71" s="20"/>
      <c r="U71" s="20">
        <v>4611</v>
      </c>
      <c r="V71" s="20"/>
      <c r="W71" s="20"/>
      <c r="X71" s="20"/>
      <c r="Y71" s="20"/>
      <c r="Z71" s="20"/>
      <c r="AA71" s="20"/>
      <c r="AB71" s="20"/>
      <c r="AC71" s="35"/>
      <c r="AD71" s="32">
        <f t="shared" si="1"/>
        <v>116663</v>
      </c>
      <c r="AE71" s="37"/>
    </row>
    <row r="72" spans="1:31" s="1" customFormat="1">
      <c r="A72" s="46">
        <v>70</v>
      </c>
      <c r="B72" s="22" t="s">
        <v>89</v>
      </c>
      <c r="C72" s="18">
        <v>1900701204001</v>
      </c>
      <c r="D72" s="19"/>
      <c r="E72" s="20">
        <v>17678</v>
      </c>
      <c r="F72" s="20"/>
      <c r="G72" s="20">
        <v>15999</v>
      </c>
      <c r="H72" s="20"/>
      <c r="I72" s="20">
        <v>17346</v>
      </c>
      <c r="J72" s="20"/>
      <c r="K72" s="20">
        <v>11197</v>
      </c>
      <c r="L72" s="20"/>
      <c r="M72" s="20">
        <v>17678</v>
      </c>
      <c r="N72" s="20"/>
      <c r="O72" s="20">
        <v>16589</v>
      </c>
      <c r="P72" s="20"/>
      <c r="Q72" s="20">
        <v>17519</v>
      </c>
      <c r="R72" s="20"/>
      <c r="S72" s="20">
        <v>17726</v>
      </c>
      <c r="T72" s="20"/>
      <c r="U72" s="20">
        <v>28893</v>
      </c>
      <c r="V72" s="20"/>
      <c r="W72" s="20">
        <v>17726</v>
      </c>
      <c r="X72" s="20"/>
      <c r="Y72" s="20">
        <v>16953</v>
      </c>
      <c r="Z72" s="20"/>
      <c r="AA72" s="20">
        <v>17744</v>
      </c>
      <c r="AB72" s="20"/>
      <c r="AC72" s="35"/>
      <c r="AD72" s="32">
        <f t="shared" si="1"/>
        <v>213048</v>
      </c>
      <c r="AE72" s="37"/>
    </row>
    <row r="73" spans="1:31" s="1" customFormat="1">
      <c r="A73" s="46">
        <v>71</v>
      </c>
      <c r="B73" s="22" t="s">
        <v>90</v>
      </c>
      <c r="C73" s="18">
        <v>1341800017125</v>
      </c>
      <c r="D73" s="19"/>
      <c r="E73" s="20">
        <v>14446</v>
      </c>
      <c r="F73" s="20"/>
      <c r="G73" s="20">
        <v>13432</v>
      </c>
      <c r="H73" s="20"/>
      <c r="I73" s="20">
        <v>14574</v>
      </c>
      <c r="J73" s="20"/>
      <c r="K73" s="20">
        <v>15329</v>
      </c>
      <c r="L73" s="20"/>
      <c r="M73" s="20">
        <v>15486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35"/>
      <c r="AD73" s="32">
        <f t="shared" si="1"/>
        <v>73267</v>
      </c>
      <c r="AE73" s="37"/>
    </row>
    <row r="74" spans="1:31" s="1" customFormat="1">
      <c r="A74" s="46">
        <v>72</v>
      </c>
      <c r="B74" s="17" t="s">
        <v>91</v>
      </c>
      <c r="C74" s="18">
        <v>3480100010742</v>
      </c>
      <c r="D74" s="19"/>
      <c r="E74" s="20">
        <v>13422</v>
      </c>
      <c r="F74" s="20"/>
      <c r="G74" s="20">
        <v>5000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35"/>
      <c r="AD74" s="32">
        <f t="shared" si="1"/>
        <v>18422</v>
      </c>
      <c r="AE74" s="37"/>
    </row>
    <row r="75" spans="1:31" s="1" customFormat="1">
      <c r="A75" s="46">
        <v>73</v>
      </c>
      <c r="B75" s="22" t="s">
        <v>92</v>
      </c>
      <c r="C75" s="18">
        <v>3960500410484</v>
      </c>
      <c r="D75" s="19"/>
      <c r="E75" s="20"/>
      <c r="F75" s="20"/>
      <c r="G75" s="20"/>
      <c r="H75" s="20"/>
      <c r="I75" s="20">
        <v>3616</v>
      </c>
      <c r="J75" s="20"/>
      <c r="K75" s="20">
        <v>18567</v>
      </c>
      <c r="L75" s="20"/>
      <c r="M75" s="20">
        <v>15489</v>
      </c>
      <c r="N75" s="20"/>
      <c r="O75" s="20">
        <v>10618</v>
      </c>
      <c r="P75" s="20"/>
      <c r="Q75" s="20">
        <v>15246</v>
      </c>
      <c r="R75" s="20"/>
      <c r="S75" s="20">
        <v>15599</v>
      </c>
      <c r="T75" s="20"/>
      <c r="U75" s="20"/>
      <c r="V75" s="20"/>
      <c r="W75" s="20"/>
      <c r="X75" s="20"/>
      <c r="Y75" s="20"/>
      <c r="Z75" s="20"/>
      <c r="AA75" s="20"/>
      <c r="AB75" s="20"/>
      <c r="AC75" s="35"/>
      <c r="AD75" s="32">
        <f t="shared" si="1"/>
        <v>79135</v>
      </c>
      <c r="AE75" s="37"/>
    </row>
    <row r="76" spans="1:31" s="1" customFormat="1">
      <c r="A76" s="46">
        <v>74</v>
      </c>
      <c r="B76" s="22" t="s">
        <v>93</v>
      </c>
      <c r="C76" s="18">
        <v>1310800002305</v>
      </c>
      <c r="D76" s="19"/>
      <c r="E76" s="20"/>
      <c r="F76" s="20"/>
      <c r="G76" s="20"/>
      <c r="H76" s="20"/>
      <c r="I76" s="20">
        <v>9447</v>
      </c>
      <c r="J76" s="20"/>
      <c r="K76" s="20">
        <v>10547</v>
      </c>
      <c r="L76" s="20"/>
      <c r="M76" s="20">
        <v>15723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35"/>
      <c r="AD76" s="32">
        <f t="shared" si="1"/>
        <v>35717</v>
      </c>
      <c r="AE76" s="37"/>
    </row>
    <row r="77" spans="1:31" s="1" customFormat="1">
      <c r="A77" s="46">
        <v>75</v>
      </c>
      <c r="B77" s="22" t="s">
        <v>94</v>
      </c>
      <c r="C77" s="18">
        <v>1739990010830</v>
      </c>
      <c r="D77" s="19"/>
      <c r="E77" s="20"/>
      <c r="F77" s="20"/>
      <c r="G77" s="20"/>
      <c r="H77" s="20"/>
      <c r="I77" s="20"/>
      <c r="J77" s="20"/>
      <c r="K77" s="20">
        <v>16977</v>
      </c>
      <c r="L77" s="20"/>
      <c r="M77" s="20">
        <v>13934</v>
      </c>
      <c r="N77" s="20"/>
      <c r="O77" s="20">
        <v>17331</v>
      </c>
      <c r="P77" s="20"/>
      <c r="Q77" s="20">
        <v>15759</v>
      </c>
      <c r="R77" s="20"/>
      <c r="S77" s="20">
        <v>17172</v>
      </c>
      <c r="T77" s="20"/>
      <c r="U77" s="20">
        <v>10267</v>
      </c>
      <c r="V77" s="20"/>
      <c r="W77" s="20"/>
      <c r="X77" s="20"/>
      <c r="Y77" s="20"/>
      <c r="Z77" s="20"/>
      <c r="AA77" s="20"/>
      <c r="AB77" s="20"/>
      <c r="AC77" s="35"/>
      <c r="AD77" s="32">
        <f t="shared" si="1"/>
        <v>91440</v>
      </c>
      <c r="AE77" s="37"/>
    </row>
    <row r="78" spans="1:31" s="1" customFormat="1">
      <c r="A78" s="46">
        <v>76</v>
      </c>
      <c r="B78" s="22" t="s">
        <v>95</v>
      </c>
      <c r="C78" s="18">
        <v>3660200120688</v>
      </c>
      <c r="D78" s="19"/>
      <c r="E78" s="20"/>
      <c r="F78" s="20"/>
      <c r="G78" s="20"/>
      <c r="H78" s="20"/>
      <c r="I78" s="20"/>
      <c r="J78" s="20"/>
      <c r="K78" s="20">
        <v>2745</v>
      </c>
      <c r="L78" s="20"/>
      <c r="M78" s="20">
        <v>11798</v>
      </c>
      <c r="N78" s="20"/>
      <c r="O78" s="20">
        <v>14897</v>
      </c>
      <c r="P78" s="20"/>
      <c r="Q78" s="20">
        <v>14784</v>
      </c>
      <c r="R78" s="20"/>
      <c r="S78" s="20">
        <v>14374</v>
      </c>
      <c r="T78" s="20"/>
      <c r="U78" s="38">
        <v>16593</v>
      </c>
      <c r="V78" s="20"/>
      <c r="W78" s="20">
        <v>21668</v>
      </c>
      <c r="X78" s="20"/>
      <c r="Y78" s="20">
        <v>17256</v>
      </c>
      <c r="Z78" s="20"/>
      <c r="AA78" s="20">
        <v>11105</v>
      </c>
      <c r="AB78" s="20"/>
      <c r="AC78" s="35"/>
      <c r="AD78" s="32">
        <f t="shared" si="1"/>
        <v>125220</v>
      </c>
      <c r="AE78" s="37"/>
    </row>
    <row r="79" spans="1:31" s="1" customFormat="1">
      <c r="A79" s="46">
        <v>77</v>
      </c>
      <c r="B79" s="22" t="s">
        <v>96</v>
      </c>
      <c r="C79" s="18">
        <v>3410500056901</v>
      </c>
      <c r="D79" s="19"/>
      <c r="E79" s="20"/>
      <c r="F79" s="20"/>
      <c r="G79" s="20"/>
      <c r="H79" s="20"/>
      <c r="I79" s="20"/>
      <c r="J79" s="20"/>
      <c r="K79" s="20">
        <v>3074</v>
      </c>
      <c r="L79" s="20"/>
      <c r="M79" s="20">
        <v>16289</v>
      </c>
      <c r="N79" s="20"/>
      <c r="O79" s="20">
        <v>15741</v>
      </c>
      <c r="P79" s="20"/>
      <c r="Q79" s="20">
        <v>16606</v>
      </c>
      <c r="R79" s="20"/>
      <c r="S79" s="20">
        <v>16783</v>
      </c>
      <c r="T79" s="20"/>
      <c r="U79" s="20">
        <v>15900</v>
      </c>
      <c r="V79" s="20"/>
      <c r="W79" s="20">
        <v>16801</v>
      </c>
      <c r="X79" s="20"/>
      <c r="Y79" s="20"/>
      <c r="Z79" s="20"/>
      <c r="AA79" s="20"/>
      <c r="AB79" s="20"/>
      <c r="AC79" s="35"/>
      <c r="AD79" s="32">
        <f t="shared" si="1"/>
        <v>101194</v>
      </c>
      <c r="AE79" s="37"/>
    </row>
    <row r="80" spans="1:31" s="1" customFormat="1">
      <c r="A80" s="46">
        <v>78</v>
      </c>
      <c r="B80" s="22" t="s">
        <v>97</v>
      </c>
      <c r="C80" s="18">
        <v>1103700964657</v>
      </c>
      <c r="D80" s="19"/>
      <c r="E80" s="20"/>
      <c r="F80" s="20"/>
      <c r="G80" s="20"/>
      <c r="H80" s="20"/>
      <c r="I80" s="20"/>
      <c r="J80" s="20"/>
      <c r="K80" s="20">
        <v>3169</v>
      </c>
      <c r="L80" s="20"/>
      <c r="M80" s="20">
        <v>11553</v>
      </c>
      <c r="N80" s="20"/>
      <c r="O80" s="20">
        <v>15741</v>
      </c>
      <c r="P80" s="20"/>
      <c r="Q80" s="20">
        <v>16097</v>
      </c>
      <c r="R80" s="20"/>
      <c r="S80" s="20">
        <v>14746</v>
      </c>
      <c r="T80" s="20"/>
      <c r="U80" s="20">
        <v>30623</v>
      </c>
      <c r="V80" s="20"/>
      <c r="W80" s="39">
        <v>7000</v>
      </c>
      <c r="X80" s="20"/>
      <c r="Y80" s="20"/>
      <c r="Z80" s="20"/>
      <c r="AA80" s="20"/>
      <c r="AB80" s="20"/>
      <c r="AC80" s="35"/>
      <c r="AD80" s="32">
        <f t="shared" si="1"/>
        <v>98929</v>
      </c>
      <c r="AE80" s="37"/>
    </row>
    <row r="81" spans="1:31" s="1" customFormat="1">
      <c r="A81" s="46">
        <v>79</v>
      </c>
      <c r="B81" s="22" t="s">
        <v>98</v>
      </c>
      <c r="C81" s="18">
        <v>3430200502019</v>
      </c>
      <c r="D81" s="19"/>
      <c r="E81" s="20"/>
      <c r="F81" s="20"/>
      <c r="G81" s="20"/>
      <c r="H81" s="20"/>
      <c r="I81" s="20"/>
      <c r="J81" s="20"/>
      <c r="K81" s="20"/>
      <c r="L81" s="20"/>
      <c r="M81" s="20">
        <v>4500</v>
      </c>
      <c r="N81" s="20"/>
      <c r="O81" s="20">
        <v>8730</v>
      </c>
      <c r="P81" s="20"/>
      <c r="Q81" s="20">
        <v>8730</v>
      </c>
      <c r="R81" s="20"/>
      <c r="S81" s="20">
        <v>8730</v>
      </c>
      <c r="T81" s="20"/>
      <c r="U81" s="20">
        <v>8730</v>
      </c>
      <c r="V81" s="20"/>
      <c r="W81" s="20">
        <v>2910</v>
      </c>
      <c r="X81" s="20"/>
      <c r="Y81" s="20"/>
      <c r="Z81" s="20"/>
      <c r="AA81" s="20"/>
      <c r="AB81" s="20"/>
      <c r="AC81" s="35"/>
      <c r="AD81" s="32">
        <f t="shared" si="1"/>
        <v>42330</v>
      </c>
      <c r="AE81" s="37"/>
    </row>
    <row r="82" spans="1:31" s="1" customFormat="1">
      <c r="A82" s="46">
        <v>80</v>
      </c>
      <c r="B82" s="22" t="s">
        <v>99</v>
      </c>
      <c r="C82" s="18">
        <v>3829900044638</v>
      </c>
      <c r="D82" s="1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>
        <v>6890</v>
      </c>
      <c r="P82" s="20"/>
      <c r="Q82" s="20">
        <v>15723</v>
      </c>
      <c r="R82" s="20"/>
      <c r="S82" s="20">
        <v>16076</v>
      </c>
      <c r="T82" s="20"/>
      <c r="U82" s="20">
        <v>15900</v>
      </c>
      <c r="V82" s="20"/>
      <c r="W82" s="20">
        <v>15193</v>
      </c>
      <c r="X82" s="20"/>
      <c r="Y82" s="20">
        <v>15900</v>
      </c>
      <c r="Z82" s="20"/>
      <c r="AA82" s="20">
        <v>13603</v>
      </c>
      <c r="AB82" s="20"/>
      <c r="AC82" s="35"/>
      <c r="AD82" s="32">
        <f t="shared" si="1"/>
        <v>99285</v>
      </c>
      <c r="AE82" s="37"/>
    </row>
    <row r="83" spans="1:31" s="1" customFormat="1">
      <c r="A83" s="46">
        <v>81</v>
      </c>
      <c r="B83" s="22" t="s">
        <v>100</v>
      </c>
      <c r="C83" s="18">
        <v>1119902297541</v>
      </c>
      <c r="D83" s="1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>
        <v>7830</v>
      </c>
      <c r="P83" s="20"/>
      <c r="Q83" s="20">
        <v>12778</v>
      </c>
      <c r="R83" s="20"/>
      <c r="S83" s="20">
        <v>13229</v>
      </c>
      <c r="T83" s="20"/>
      <c r="U83" s="20">
        <v>10925</v>
      </c>
      <c r="V83" s="20"/>
      <c r="W83" s="20">
        <v>4315</v>
      </c>
      <c r="X83" s="20"/>
      <c r="Y83" s="20">
        <v>11564</v>
      </c>
      <c r="Z83" s="20"/>
      <c r="AA83" s="20">
        <v>15401</v>
      </c>
      <c r="AB83" s="20"/>
      <c r="AC83" s="35"/>
      <c r="AD83" s="32">
        <f t="shared" si="1"/>
        <v>76042</v>
      </c>
      <c r="AE83" s="37"/>
    </row>
    <row r="84" spans="1:31" s="1" customFormat="1">
      <c r="A84" s="46">
        <v>82</v>
      </c>
      <c r="B84" s="22" t="s">
        <v>101</v>
      </c>
      <c r="C84" s="18">
        <v>3220200195941</v>
      </c>
      <c r="D84" s="1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>
        <v>7552</v>
      </c>
      <c r="P84" s="20"/>
      <c r="Q84" s="20">
        <v>13048</v>
      </c>
      <c r="R84" s="20"/>
      <c r="S84" s="20">
        <v>17465</v>
      </c>
      <c r="T84" s="20"/>
      <c r="U84" s="20">
        <v>16721</v>
      </c>
      <c r="V84" s="20"/>
      <c r="W84" s="20">
        <v>18391</v>
      </c>
      <c r="X84" s="20"/>
      <c r="Y84" s="20">
        <v>1500</v>
      </c>
      <c r="Z84" s="20"/>
      <c r="AA84" s="20"/>
      <c r="AB84" s="20"/>
      <c r="AC84" s="35"/>
      <c r="AD84" s="32">
        <f t="shared" si="1"/>
        <v>74677</v>
      </c>
      <c r="AE84" s="37"/>
    </row>
    <row r="85" spans="1:31" s="1" customFormat="1">
      <c r="A85" s="46">
        <v>83</v>
      </c>
      <c r="B85" s="22" t="s">
        <v>102</v>
      </c>
      <c r="C85" s="18">
        <v>1103701448369</v>
      </c>
      <c r="D85" s="1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>
        <v>13057</v>
      </c>
      <c r="R85" s="20"/>
      <c r="S85" s="20">
        <v>8091</v>
      </c>
      <c r="T85" s="20"/>
      <c r="U85" s="20"/>
      <c r="V85" s="20"/>
      <c r="W85" s="20"/>
      <c r="X85" s="20"/>
      <c r="Y85" s="20"/>
      <c r="Z85" s="20"/>
      <c r="AA85" s="20"/>
      <c r="AB85" s="20"/>
      <c r="AC85" s="35"/>
      <c r="AD85" s="32">
        <f t="shared" si="1"/>
        <v>21148</v>
      </c>
      <c r="AE85" s="37"/>
    </row>
    <row r="86" spans="1:31" s="1" customFormat="1">
      <c r="A86" s="46">
        <v>84</v>
      </c>
      <c r="B86" s="22" t="s">
        <v>103</v>
      </c>
      <c r="C86" s="18">
        <v>3110100441797</v>
      </c>
      <c r="D86" s="1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>
        <v>13764</v>
      </c>
      <c r="R86" s="20"/>
      <c r="S86" s="20">
        <v>16465</v>
      </c>
      <c r="T86" s="20"/>
      <c r="U86" s="20">
        <v>16712</v>
      </c>
      <c r="V86" s="20"/>
      <c r="W86" s="20">
        <v>1697</v>
      </c>
      <c r="X86" s="20"/>
      <c r="Y86" s="20"/>
      <c r="Z86" s="20"/>
      <c r="AA86" s="20"/>
      <c r="AB86" s="20"/>
      <c r="AC86" s="35"/>
      <c r="AD86" s="32">
        <f t="shared" si="1"/>
        <v>48638</v>
      </c>
      <c r="AE86" s="37"/>
    </row>
    <row r="87" spans="1:31" s="1" customFormat="1">
      <c r="A87" s="46">
        <v>85</v>
      </c>
      <c r="B87" s="22" t="s">
        <v>104</v>
      </c>
      <c r="C87" s="18">
        <v>3100600738225</v>
      </c>
      <c r="D87" s="1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>
        <v>13522</v>
      </c>
      <c r="R87" s="20"/>
      <c r="S87" s="20">
        <v>18042</v>
      </c>
      <c r="T87" s="20"/>
      <c r="U87" s="20">
        <v>17298</v>
      </c>
      <c r="V87" s="20"/>
      <c r="W87" s="20">
        <v>1790</v>
      </c>
      <c r="X87" s="20"/>
      <c r="Y87" s="20"/>
      <c r="Z87" s="20"/>
      <c r="AA87" s="20"/>
      <c r="AB87" s="20"/>
      <c r="AC87" s="35"/>
      <c r="AD87" s="32">
        <f t="shared" si="1"/>
        <v>50652</v>
      </c>
      <c r="AE87" s="37"/>
    </row>
    <row r="88" spans="1:31" s="1" customFormat="1">
      <c r="A88" s="46">
        <v>86</v>
      </c>
      <c r="B88" s="22" t="s">
        <v>105</v>
      </c>
      <c r="C88" s="18">
        <v>1720100120701</v>
      </c>
      <c r="D88" s="1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>
        <v>11699</v>
      </c>
      <c r="R88" s="20"/>
      <c r="S88" s="20">
        <v>13429</v>
      </c>
      <c r="T88" s="20"/>
      <c r="U88" s="20">
        <v>12150</v>
      </c>
      <c r="V88" s="20"/>
      <c r="W88" s="20">
        <v>13708</v>
      </c>
      <c r="X88" s="20"/>
      <c r="Y88" s="20"/>
      <c r="Z88" s="20"/>
      <c r="AA88" s="20"/>
      <c r="AB88" s="20"/>
      <c r="AC88" s="35"/>
      <c r="AD88" s="32">
        <f t="shared" si="1"/>
        <v>50986</v>
      </c>
      <c r="AE88" s="37"/>
    </row>
    <row r="89" spans="1:31" s="1" customFormat="1">
      <c r="A89" s="46">
        <v>87</v>
      </c>
      <c r="B89" s="22" t="s">
        <v>106</v>
      </c>
      <c r="C89" s="18">
        <v>3102300422259</v>
      </c>
      <c r="D89" s="1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>
        <v>11699</v>
      </c>
      <c r="R89" s="20"/>
      <c r="S89" s="20">
        <v>13429</v>
      </c>
      <c r="T89" s="20"/>
      <c r="U89" s="20">
        <v>12150</v>
      </c>
      <c r="V89" s="20"/>
      <c r="W89" s="20">
        <v>15308</v>
      </c>
      <c r="X89" s="20"/>
      <c r="Y89" s="20">
        <v>15103</v>
      </c>
      <c r="Z89" s="20"/>
      <c r="AA89" s="20">
        <v>14629</v>
      </c>
      <c r="AB89" s="20"/>
      <c r="AC89" s="35"/>
      <c r="AD89" s="32">
        <f t="shared" si="1"/>
        <v>82318</v>
      </c>
      <c r="AE89" s="37"/>
    </row>
    <row r="90" spans="1:31" s="1" customFormat="1">
      <c r="A90" s="46">
        <v>88</v>
      </c>
      <c r="B90" s="22" t="s">
        <v>107</v>
      </c>
      <c r="C90" s="18">
        <v>3360101204215</v>
      </c>
      <c r="D90" s="1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>
        <v>13048</v>
      </c>
      <c r="R90" s="20"/>
      <c r="S90" s="20">
        <v>17465</v>
      </c>
      <c r="T90" s="20"/>
      <c r="U90" s="20">
        <v>16721</v>
      </c>
      <c r="V90" s="20"/>
      <c r="W90" s="20">
        <v>1697</v>
      </c>
      <c r="X90" s="20"/>
      <c r="Y90" s="20"/>
      <c r="Z90" s="20"/>
      <c r="AA90" s="20"/>
      <c r="AB90" s="20"/>
      <c r="AC90" s="35"/>
      <c r="AD90" s="32">
        <f t="shared" si="1"/>
        <v>48931</v>
      </c>
      <c r="AE90" s="37"/>
    </row>
    <row r="91" spans="1:31" s="1" customFormat="1">
      <c r="A91" s="46">
        <v>89</v>
      </c>
      <c r="B91" s="22" t="s">
        <v>108</v>
      </c>
      <c r="C91" s="18">
        <v>3361200698659</v>
      </c>
      <c r="D91" s="1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>
        <v>8479.74</v>
      </c>
      <c r="T91" s="20"/>
      <c r="U91" s="20">
        <v>15696.54</v>
      </c>
      <c r="V91" s="20"/>
      <c r="W91" s="20">
        <v>1906.3</v>
      </c>
      <c r="X91" s="20"/>
      <c r="Y91" s="20"/>
      <c r="Z91" s="20"/>
      <c r="AA91" s="20"/>
      <c r="AB91" s="20"/>
      <c r="AC91" s="35"/>
      <c r="AD91" s="32">
        <f t="shared" si="1"/>
        <v>26082.579999999998</v>
      </c>
      <c r="AE91" s="37"/>
    </row>
    <row r="92" spans="1:31" s="1" customFormat="1">
      <c r="A92" s="46">
        <v>90</v>
      </c>
      <c r="B92" s="22" t="s">
        <v>109</v>
      </c>
      <c r="C92" s="18">
        <v>3340900193931</v>
      </c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>
        <v>13963</v>
      </c>
      <c r="T92" s="20"/>
      <c r="U92" s="20">
        <v>15576</v>
      </c>
      <c r="V92" s="20"/>
      <c r="W92" s="20">
        <v>16688</v>
      </c>
      <c r="X92" s="20"/>
      <c r="Y92" s="20">
        <v>16858</v>
      </c>
      <c r="Z92" s="20"/>
      <c r="AA92" s="20">
        <v>17277</v>
      </c>
      <c r="AB92" s="20"/>
      <c r="AC92" s="35"/>
      <c r="AD92" s="32">
        <f t="shared" si="1"/>
        <v>80362</v>
      </c>
      <c r="AE92" s="37"/>
    </row>
    <row r="93" spans="1:31" s="1" customFormat="1">
      <c r="A93" s="46">
        <v>91</v>
      </c>
      <c r="B93" s="22" t="s">
        <v>110</v>
      </c>
      <c r="C93" s="18">
        <v>1941000100219</v>
      </c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>
        <v>13913</v>
      </c>
      <c r="T93" s="20"/>
      <c r="U93" s="20">
        <v>14956</v>
      </c>
      <c r="V93" s="20"/>
      <c r="W93" s="20">
        <v>15531</v>
      </c>
      <c r="X93" s="20"/>
      <c r="Y93" s="20">
        <v>16796</v>
      </c>
      <c r="Z93" s="20"/>
      <c r="AA93" s="20">
        <v>15531</v>
      </c>
      <c r="AB93" s="20"/>
      <c r="AC93" s="35"/>
      <c r="AD93" s="32">
        <f t="shared" si="1"/>
        <v>76727</v>
      </c>
      <c r="AE93" s="37"/>
    </row>
    <row r="94" spans="1:31" s="1" customFormat="1">
      <c r="A94" s="46">
        <v>92</v>
      </c>
      <c r="B94" s="22" t="s">
        <v>111</v>
      </c>
      <c r="C94" s="18">
        <v>1101501270246</v>
      </c>
      <c r="D94" s="1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>
        <v>10880</v>
      </c>
      <c r="T94" s="20"/>
      <c r="U94" s="20">
        <v>23326</v>
      </c>
      <c r="V94" s="20"/>
      <c r="W94" s="20">
        <v>17296</v>
      </c>
      <c r="X94" s="20"/>
      <c r="Y94" s="20">
        <v>12388</v>
      </c>
      <c r="Z94" s="20"/>
      <c r="AA94" s="20">
        <v>10265</v>
      </c>
      <c r="AB94" s="20"/>
      <c r="AC94" s="35"/>
      <c r="AD94" s="32">
        <f t="shared" si="1"/>
        <v>74155</v>
      </c>
      <c r="AE94" s="37"/>
    </row>
    <row r="95" spans="1:31" s="1" customFormat="1">
      <c r="A95" s="46">
        <v>93</v>
      </c>
      <c r="B95" s="22" t="s">
        <v>112</v>
      </c>
      <c r="C95" s="18">
        <v>1101001302043</v>
      </c>
      <c r="D95" s="1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>
        <v>11652.61</v>
      </c>
      <c r="T95" s="20"/>
      <c r="U95" s="20">
        <v>26175.45</v>
      </c>
      <c r="V95" s="20"/>
      <c r="W95" s="20">
        <v>2056.4</v>
      </c>
      <c r="X95" s="20"/>
      <c r="Y95" s="20"/>
      <c r="Z95" s="20"/>
      <c r="AA95" s="20"/>
      <c r="AB95" s="20"/>
      <c r="AC95" s="35"/>
      <c r="AD95" s="32">
        <f t="shared" ref="AD95:AD111" si="3">+E95+G95+I95+K95+M95+O95+Q95+S95+U95+W95+Y95+AA95</f>
        <v>39884.46</v>
      </c>
      <c r="AE95" s="37"/>
    </row>
    <row r="96" spans="1:31" s="1" customFormat="1">
      <c r="A96" s="46">
        <v>94</v>
      </c>
      <c r="B96" s="22" t="s">
        <v>113</v>
      </c>
      <c r="C96" s="18">
        <v>1739902229770</v>
      </c>
      <c r="D96" s="1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>
        <v>17075</v>
      </c>
      <c r="V96" s="20"/>
      <c r="W96" s="20">
        <v>17707</v>
      </c>
      <c r="X96" s="20"/>
      <c r="Y96" s="20">
        <v>16238</v>
      </c>
      <c r="Z96" s="20"/>
      <c r="AA96" s="20">
        <v>17889</v>
      </c>
      <c r="AB96" s="20"/>
      <c r="AC96" s="35"/>
      <c r="AD96" s="32">
        <f t="shared" si="3"/>
        <v>68909</v>
      </c>
      <c r="AE96" s="37"/>
    </row>
    <row r="97" spans="1:31" s="1" customFormat="1">
      <c r="A97" s="46">
        <v>95</v>
      </c>
      <c r="B97" s="22" t="s">
        <v>114</v>
      </c>
      <c r="C97" s="18">
        <v>3730100002453</v>
      </c>
      <c r="D97" s="1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>
        <v>12044</v>
      </c>
      <c r="V97" s="20"/>
      <c r="W97" s="20">
        <v>15841</v>
      </c>
      <c r="X97" s="20"/>
      <c r="Y97" s="20">
        <v>14407</v>
      </c>
      <c r="Z97" s="20"/>
      <c r="AA97" s="20">
        <v>15229</v>
      </c>
      <c r="AB97" s="20"/>
      <c r="AC97" s="35"/>
      <c r="AD97" s="32">
        <f t="shared" si="3"/>
        <v>57521</v>
      </c>
      <c r="AE97" s="37"/>
    </row>
    <row r="98" spans="1:31" s="1" customFormat="1">
      <c r="A98" s="46">
        <v>96</v>
      </c>
      <c r="B98" s="22" t="s">
        <v>115</v>
      </c>
      <c r="C98" s="18">
        <v>3160700043768</v>
      </c>
      <c r="D98" s="1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>
        <v>11496</v>
      </c>
      <c r="V98" s="20"/>
      <c r="W98" s="20">
        <v>15723</v>
      </c>
      <c r="X98" s="20"/>
      <c r="Y98" s="20">
        <v>15471</v>
      </c>
      <c r="Z98" s="20"/>
      <c r="AA98" s="20">
        <v>15211</v>
      </c>
      <c r="AB98" s="20"/>
      <c r="AC98" s="35"/>
      <c r="AD98" s="32">
        <f t="shared" si="3"/>
        <v>57901</v>
      </c>
      <c r="AE98" s="37"/>
    </row>
    <row r="99" spans="1:31" s="1" customFormat="1">
      <c r="A99" s="46">
        <v>97</v>
      </c>
      <c r="B99" s="22" t="s">
        <v>116</v>
      </c>
      <c r="C99" s="18">
        <v>3140800414342</v>
      </c>
      <c r="D99" s="1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>
        <v>9752</v>
      </c>
      <c r="V99" s="20"/>
      <c r="W99" s="20">
        <v>5366</v>
      </c>
      <c r="X99" s="20"/>
      <c r="Y99" s="20"/>
      <c r="Z99" s="20"/>
      <c r="AA99" s="20"/>
      <c r="AB99" s="20"/>
      <c r="AC99" s="35"/>
      <c r="AD99" s="32">
        <f t="shared" si="3"/>
        <v>15118</v>
      </c>
      <c r="AE99" s="37"/>
    </row>
    <row r="100" spans="1:31" s="1" customFormat="1">
      <c r="A100" s="46">
        <v>98</v>
      </c>
      <c r="B100" s="22" t="s">
        <v>117</v>
      </c>
      <c r="C100" s="18">
        <v>1961200104005</v>
      </c>
      <c r="D100" s="1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>
        <v>15791</v>
      </c>
      <c r="X100" s="20"/>
      <c r="Y100" s="20">
        <v>16219</v>
      </c>
      <c r="Z100" s="20"/>
      <c r="AA100" s="20">
        <v>17131</v>
      </c>
      <c r="AB100" s="20"/>
      <c r="AC100" s="35"/>
      <c r="AD100" s="32">
        <f t="shared" si="3"/>
        <v>49141</v>
      </c>
      <c r="AE100" s="37"/>
    </row>
    <row r="101" spans="1:31" s="1" customFormat="1">
      <c r="A101" s="46">
        <v>99</v>
      </c>
      <c r="B101" s="22" t="s">
        <v>118</v>
      </c>
      <c r="C101" s="18">
        <v>2820800020005</v>
      </c>
      <c r="D101" s="1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>
        <v>4410</v>
      </c>
      <c r="X101" s="20"/>
      <c r="Y101" s="20">
        <v>3323</v>
      </c>
      <c r="Z101" s="20"/>
      <c r="AA101" s="20"/>
      <c r="AB101" s="20"/>
      <c r="AC101" s="35"/>
      <c r="AD101" s="32">
        <f t="shared" si="3"/>
        <v>7733</v>
      </c>
      <c r="AE101" s="37"/>
    </row>
    <row r="102" spans="1:31" s="1" customFormat="1">
      <c r="A102" s="46">
        <v>100</v>
      </c>
      <c r="B102" s="22" t="s">
        <v>119</v>
      </c>
      <c r="C102" s="18">
        <v>5130399005749</v>
      </c>
      <c r="D102" s="1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>
        <v>2099</v>
      </c>
      <c r="X102" s="20"/>
      <c r="Y102" s="20">
        <v>13176</v>
      </c>
      <c r="Z102" s="20"/>
      <c r="AA102" s="20">
        <v>14711</v>
      </c>
      <c r="AB102" s="20"/>
      <c r="AC102" s="35"/>
      <c r="AD102" s="32">
        <f t="shared" si="3"/>
        <v>29986</v>
      </c>
      <c r="AE102" s="37"/>
    </row>
    <row r="103" spans="1:31" s="1" customFormat="1">
      <c r="A103" s="46">
        <v>101</v>
      </c>
      <c r="B103" s="22" t="s">
        <v>120</v>
      </c>
      <c r="C103" s="18">
        <v>3160500023135</v>
      </c>
      <c r="D103" s="1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>
        <v>2910</v>
      </c>
      <c r="Z103" s="20"/>
      <c r="AA103" s="20">
        <v>2910</v>
      </c>
      <c r="AB103" s="20"/>
      <c r="AC103" s="35"/>
      <c r="AD103" s="32">
        <f t="shared" si="3"/>
        <v>5820</v>
      </c>
      <c r="AE103" s="37"/>
    </row>
    <row r="104" spans="1:31" s="1" customFormat="1">
      <c r="A104" s="46">
        <v>102</v>
      </c>
      <c r="B104" s="22" t="s">
        <v>121</v>
      </c>
      <c r="C104" s="18">
        <v>1961100077103</v>
      </c>
      <c r="D104" s="1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>
        <v>11383</v>
      </c>
      <c r="Z104" s="20"/>
      <c r="AA104" s="20">
        <v>17459</v>
      </c>
      <c r="AB104" s="20"/>
      <c r="AC104" s="35"/>
      <c r="AD104" s="32">
        <f t="shared" si="3"/>
        <v>28842</v>
      </c>
      <c r="AE104" s="37"/>
    </row>
    <row r="105" spans="1:31" s="1" customFormat="1">
      <c r="A105" s="46">
        <v>103</v>
      </c>
      <c r="B105" s="22" t="s">
        <v>122</v>
      </c>
      <c r="C105" s="18">
        <v>1909700091899</v>
      </c>
      <c r="D105" s="1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>
        <v>4896</v>
      </c>
      <c r="Z105" s="20"/>
      <c r="AA105" s="20"/>
      <c r="AB105" s="20"/>
      <c r="AC105" s="35"/>
      <c r="AD105" s="32">
        <f t="shared" si="3"/>
        <v>4896</v>
      </c>
      <c r="AE105" s="37"/>
    </row>
    <row r="106" spans="1:31" s="1" customFormat="1">
      <c r="A106" s="46">
        <v>104</v>
      </c>
      <c r="B106" s="22" t="s">
        <v>123</v>
      </c>
      <c r="C106" s="18">
        <v>3530100483275</v>
      </c>
      <c r="D106" s="1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>
        <v>10759</v>
      </c>
      <c r="Z106" s="20"/>
      <c r="AA106" s="20">
        <v>7630</v>
      </c>
      <c r="AB106" s="20"/>
      <c r="AC106" s="35"/>
      <c r="AD106" s="32">
        <f t="shared" si="3"/>
        <v>18389</v>
      </c>
      <c r="AE106" s="37"/>
    </row>
    <row r="107" spans="1:31" s="1" customFormat="1">
      <c r="A107" s="46">
        <v>105</v>
      </c>
      <c r="B107" s="22" t="s">
        <v>124</v>
      </c>
      <c r="C107" s="18">
        <v>3100903388361</v>
      </c>
      <c r="D107" s="1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>
        <v>9240</v>
      </c>
      <c r="Z107" s="20"/>
      <c r="AA107" s="20">
        <v>4636</v>
      </c>
      <c r="AB107" s="20"/>
      <c r="AC107" s="35"/>
      <c r="AD107" s="32">
        <f t="shared" si="3"/>
        <v>13876</v>
      </c>
      <c r="AE107" s="37"/>
    </row>
    <row r="108" spans="1:31" s="1" customFormat="1">
      <c r="A108" s="46">
        <v>106</v>
      </c>
      <c r="B108" s="22" t="s">
        <v>125</v>
      </c>
      <c r="C108" s="18">
        <v>3630300040805</v>
      </c>
      <c r="D108" s="1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>
        <v>9265</v>
      </c>
      <c r="Z108" s="20"/>
      <c r="AA108" s="20">
        <v>14783</v>
      </c>
      <c r="AB108" s="20"/>
      <c r="AC108" s="35"/>
      <c r="AD108" s="32">
        <f t="shared" si="3"/>
        <v>24048</v>
      </c>
      <c r="AE108" s="37"/>
    </row>
    <row r="109" spans="1:31" s="1" customFormat="1">
      <c r="A109" s="46">
        <v>107</v>
      </c>
      <c r="B109" s="22" t="s">
        <v>126</v>
      </c>
      <c r="C109" s="18">
        <v>1959900336801</v>
      </c>
      <c r="D109" s="1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>
        <v>12137</v>
      </c>
      <c r="AB109" s="20"/>
      <c r="AC109" s="35"/>
      <c r="AD109" s="32">
        <f t="shared" si="3"/>
        <v>12137</v>
      </c>
      <c r="AE109" s="37"/>
    </row>
    <row r="110" spans="1:31" s="1" customFormat="1">
      <c r="A110" s="46">
        <v>108</v>
      </c>
      <c r="B110" s="22" t="s">
        <v>127</v>
      </c>
      <c r="C110" s="18">
        <v>1390200088306</v>
      </c>
      <c r="D110" s="1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>
        <v>9542</v>
      </c>
      <c r="AB110" s="20"/>
      <c r="AC110" s="35"/>
      <c r="AD110" s="32">
        <f t="shared" si="3"/>
        <v>9542</v>
      </c>
      <c r="AE110" s="37"/>
    </row>
    <row r="111" spans="1:31" s="1" customFormat="1">
      <c r="A111" s="46">
        <v>109</v>
      </c>
      <c r="B111" s="22" t="s">
        <v>128</v>
      </c>
      <c r="C111" s="18">
        <v>3102101852067</v>
      </c>
      <c r="D111" s="1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>
        <v>1507</v>
      </c>
      <c r="AB111" s="20"/>
      <c r="AC111" s="35"/>
      <c r="AD111" s="32">
        <f t="shared" si="3"/>
        <v>1507</v>
      </c>
      <c r="AE111" s="37"/>
    </row>
    <row r="112" spans="1:31">
      <c r="A112" s="40"/>
      <c r="B112" s="13"/>
      <c r="C112" s="12"/>
      <c r="D112" s="10"/>
      <c r="E112" s="11">
        <f>SUM(E3:E111)</f>
        <v>1090609</v>
      </c>
      <c r="F112" s="11">
        <f>SUM(F3:F111)</f>
        <v>0</v>
      </c>
      <c r="G112" s="11">
        <f>SUM(G3:G111)</f>
        <v>823897</v>
      </c>
      <c r="H112" s="11">
        <f>SUM(H3:H111)</f>
        <v>0</v>
      </c>
      <c r="I112" s="11">
        <f>SUM(I3:I111)</f>
        <v>784040</v>
      </c>
      <c r="J112" s="11">
        <f>SUM(J3:J111)</f>
        <v>0</v>
      </c>
      <c r="K112" s="11">
        <f>SUM(K3:K111)</f>
        <v>865924</v>
      </c>
      <c r="L112" s="11">
        <f>SUM(L3:L111)</f>
        <v>0</v>
      </c>
      <c r="M112" s="11">
        <f>SUM(M3:M111)</f>
        <v>842878</v>
      </c>
      <c r="N112" s="11">
        <f>SUM(N3:N111)</f>
        <v>0</v>
      </c>
      <c r="O112" s="11">
        <f>SUM(O3:O111)</f>
        <v>835293</v>
      </c>
      <c r="P112" s="11">
        <f>SUM(P3:P111)</f>
        <v>0</v>
      </c>
      <c r="Q112" s="11">
        <f>SUM(Q3:Q111)</f>
        <v>930339</v>
      </c>
      <c r="R112" s="11">
        <f>SUM(R3:R111)</f>
        <v>0</v>
      </c>
      <c r="S112" s="11">
        <f>SUM(S3:S111)</f>
        <v>1003760.35</v>
      </c>
      <c r="T112" s="11">
        <f>SUM(T3:T111)</f>
        <v>0</v>
      </c>
      <c r="U112" s="11">
        <f>SUM(U3:U111)</f>
        <v>1071877.99</v>
      </c>
      <c r="V112" s="11">
        <f>SUM(V3:V111)</f>
        <v>0</v>
      </c>
      <c r="W112" s="11">
        <f>SUM(W3:W111)</f>
        <v>931403.70000000007</v>
      </c>
      <c r="X112" s="11">
        <f>SUM(X3:X111)</f>
        <v>0</v>
      </c>
      <c r="Y112" s="11">
        <f>SUM(Y3:Y111)</f>
        <v>764178</v>
      </c>
      <c r="Z112" s="11">
        <f>SUM(Z3:Z111)</f>
        <v>0</v>
      </c>
      <c r="AA112" s="11">
        <f>SUM(AA3:AA111)</f>
        <v>645349</v>
      </c>
      <c r="AB112" s="11">
        <f>SUM(AB3:AB111)</f>
        <v>0</v>
      </c>
      <c r="AC112" s="31"/>
      <c r="AD112" s="34">
        <f>SUM(AD3:AD48)</f>
        <v>5772175</v>
      </c>
      <c r="AE112" s="34">
        <f>SUM(AE3:AE48)</f>
        <v>0</v>
      </c>
    </row>
    <row r="115" spans="5:30">
      <c r="E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D115" s="42"/>
    </row>
    <row r="116" spans="5:30">
      <c r="E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D116" s="42"/>
    </row>
    <row r="117" spans="5:30">
      <c r="E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D117" s="42"/>
    </row>
    <row r="118" spans="5:30">
      <c r="E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D118" s="42"/>
    </row>
    <row r="119" spans="5:30"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D119" s="42"/>
    </row>
    <row r="120" spans="5:30"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</sheetData>
  <autoFilter ref="A1:AB112" xr:uid="{00000000-0001-0000-0000-000000000000}"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</autoFilter>
  <mergeCells count="12">
    <mergeCell ref="Y1:Z1"/>
    <mergeCell ref="AA1:AB1"/>
    <mergeCell ref="O1:P1"/>
    <mergeCell ref="Q1:R1"/>
    <mergeCell ref="S1:T1"/>
    <mergeCell ref="U1:V1"/>
    <mergeCell ref="W1:X1"/>
    <mergeCell ref="E1:F1"/>
    <mergeCell ref="G1:H1"/>
    <mergeCell ref="I1:J1"/>
    <mergeCell ref="K1:L1"/>
    <mergeCell ref="M1:N1"/>
  </mergeCells>
  <dataValidations count="1">
    <dataValidation type="textLength" operator="lessThanOrEqual" allowBlank="1" showInputMessage="1" showErrorMessage="1" promptTitle="คำแนะนำ" prompt="กรอกเฉพาะตัวเลข 13 หลักเท่านั้น ไม่ต้องใส่ขีด -" sqref="C2:C112" xr:uid="{00000000-0002-0000-0000-000000000000}">
      <formula1>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Beem BubbleB</dc:creator>
  <cp:lastModifiedBy>วรรณนิสา มีเบ้า</cp:lastModifiedBy>
  <dcterms:created xsi:type="dcterms:W3CDTF">2026-01-30T05:27:00Z</dcterms:created>
  <dcterms:modified xsi:type="dcterms:W3CDTF">2026-02-26T12:04:57Z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92A4A1D867BF45EFA34315B48DD5E010_12</vt:lpwstr>
  </property>
  <property fmtid="{D5CDD505-2E9C-101B-9397-08002B2CF9AE}" pid="3" name="KSOProductBuildVer">
    <vt:lpwstr>1033-12.2.0.23196</vt:lpwstr>
  </property>
</Properties>
</file>